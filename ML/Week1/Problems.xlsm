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01"/>
  <workbookPr/>
  <mc:AlternateContent xmlns:mc="http://schemas.openxmlformats.org/markup-compatibility/2006">
    <mc:Choice Requires="x15">
      <x15ac:absPath xmlns:x15ac="http://schemas.microsoft.com/office/spreadsheetml/2010/11/ac" url="C:\Users\Home\Downloads\AIML_B2\Module 3 - Supervised Learning\Mentor\"/>
    </mc:Choice>
  </mc:AlternateContent>
  <xr:revisionPtr revIDLastSave="0" documentId="13_ncr:1_{C9C24E2B-2119-45AC-8830-6E483D2BBB3A}" xr6:coauthVersionLast="43" xr6:coauthVersionMax="43" xr10:uidLastSave="{00000000-0000-0000-0000-000000000000}"/>
  <bookViews>
    <workbookView xWindow="-108" yWindow="-108" windowWidth="23256" windowHeight="12576" activeTab="1" xr2:uid="{00000000-000D-0000-FFFF-FFFF00000000}"/>
  </bookViews>
  <sheets>
    <sheet name="P1" sheetId="1" r:id="rId1"/>
    <sheet name="Sheet4" sheetId="9" r:id="rId2"/>
    <sheet name="P2" sheetId="2" r:id="rId3"/>
    <sheet name="Example" sheetId="5" r:id="rId4"/>
    <sheet name="P2_Excel" sheetId="3" r:id="rId5"/>
    <sheet name="P3" sheetId="4" r:id="rId6"/>
  </sheets>
  <definedNames>
    <definedName name="solver_eng" localSheetId="4" hidden="1">1</definedName>
    <definedName name="solver_neg" localSheetId="4" hidden="1">1</definedName>
    <definedName name="solver_num" localSheetId="4" hidden="1">0</definedName>
    <definedName name="solver_opt" localSheetId="4" hidden="1">P2_Excel!$D$1</definedName>
    <definedName name="solver_typ" localSheetId="4" hidden="1">1</definedName>
    <definedName name="solver_val" localSheetId="4" hidden="1">0</definedName>
    <definedName name="solver_ver" localSheetId="4"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H11" i="2" l="1"/>
  <c r="D24" i="5" l="1"/>
  <c r="D23" i="5"/>
  <c r="H14" i="5"/>
  <c r="G14" i="5"/>
  <c r="E14" i="5"/>
  <c r="F12" i="5"/>
  <c r="F3" i="5"/>
  <c r="G3" i="5" s="1"/>
  <c r="F4" i="5"/>
  <c r="F5" i="5"/>
  <c r="H5" i="5" s="1"/>
  <c r="F6" i="5"/>
  <c r="G6" i="5" s="1"/>
  <c r="F7" i="5"/>
  <c r="G7" i="5" s="1"/>
  <c r="F8" i="5"/>
  <c r="F9" i="5"/>
  <c r="F10" i="5"/>
  <c r="F11" i="5"/>
  <c r="H12" i="5"/>
  <c r="F13" i="5"/>
  <c r="F2" i="5"/>
  <c r="D3" i="5"/>
  <c r="D4" i="5"/>
  <c r="D5" i="5"/>
  <c r="D6" i="5"/>
  <c r="D7" i="5"/>
  <c r="D8" i="5"/>
  <c r="H8" i="5" s="1"/>
  <c r="D9" i="5"/>
  <c r="D10" i="5"/>
  <c r="E10" i="5" s="1"/>
  <c r="D11" i="5"/>
  <c r="H11" i="5" s="1"/>
  <c r="D12" i="5"/>
  <c r="E12" i="5" s="1"/>
  <c r="D13" i="5"/>
  <c r="H13" i="5" s="1"/>
  <c r="D2" i="5"/>
  <c r="G10" i="5"/>
  <c r="G11" i="5"/>
  <c r="G13" i="5"/>
  <c r="G9" i="5"/>
  <c r="G8" i="5"/>
  <c r="E8" i="5"/>
  <c r="E7" i="5"/>
  <c r="E5" i="5"/>
  <c r="G4" i="5"/>
  <c r="E4" i="5"/>
  <c r="H2" i="5"/>
  <c r="G2" i="5"/>
  <c r="E2" i="5"/>
  <c r="C14" i="5"/>
  <c r="B14" i="5"/>
  <c r="B14" i="4"/>
  <c r="B13" i="4"/>
  <c r="B17" i="3"/>
  <c r="I9" i="5" l="1"/>
  <c r="J9" i="5" s="1"/>
  <c r="K9" i="5" s="1"/>
  <c r="I6" i="5"/>
  <c r="J6" i="5" s="1"/>
  <c r="K6" i="5" s="1"/>
  <c r="G5" i="5"/>
  <c r="H6" i="5"/>
  <c r="G12" i="5"/>
  <c r="H3" i="5"/>
  <c r="H9" i="5"/>
  <c r="E11" i="5"/>
  <c r="E13" i="5"/>
  <c r="H10" i="5"/>
  <c r="E6" i="5"/>
  <c r="E9" i="5"/>
  <c r="H4" i="5"/>
  <c r="H7" i="5"/>
  <c r="E3" i="5"/>
  <c r="I12" i="5" l="1"/>
  <c r="J12" i="5" s="1"/>
  <c r="K12" i="5" s="1"/>
  <c r="I5" i="5"/>
  <c r="J5" i="5" s="1"/>
  <c r="K5" i="5" s="1"/>
  <c r="I4" i="5"/>
  <c r="J4" i="5" s="1"/>
  <c r="K4" i="5" s="1"/>
  <c r="I3" i="5"/>
  <c r="J3" i="5" s="1"/>
  <c r="K3" i="5" s="1"/>
  <c r="I8" i="5"/>
  <c r="J8" i="5" s="1"/>
  <c r="K8" i="5" s="1"/>
  <c r="I2" i="5"/>
  <c r="J2" i="5" s="1"/>
  <c r="K2" i="5" s="1"/>
  <c r="I10" i="5"/>
  <c r="J10" i="5" s="1"/>
  <c r="K10" i="5" s="1"/>
  <c r="I11" i="5"/>
  <c r="J11" i="5" s="1"/>
  <c r="K11" i="5" s="1"/>
  <c r="I7" i="5"/>
  <c r="J7" i="5" s="1"/>
  <c r="K7" i="5" s="1"/>
  <c r="I13" i="5"/>
  <c r="J13" i="5" s="1"/>
  <c r="K13" i="5" s="1"/>
  <c r="B16" i="3" l="1"/>
  <c r="B13" i="2" l="1"/>
  <c r="D10" i="2" s="1"/>
  <c r="E10" i="2" s="1"/>
  <c r="C13" i="2"/>
  <c r="F9" i="2"/>
  <c r="G9" i="2" s="1"/>
  <c r="F8" i="2"/>
  <c r="G8" i="2" s="1"/>
  <c r="F6" i="2"/>
  <c r="G6" i="2" s="1"/>
  <c r="F3" i="2"/>
  <c r="G3" i="2" s="1"/>
  <c r="C23" i="1"/>
  <c r="D22" i="1" s="1"/>
  <c r="E22" i="1" s="1"/>
  <c r="D13" i="1" l="1"/>
  <c r="E13" i="1" s="1"/>
  <c r="D21" i="1"/>
  <c r="E21" i="1" s="1"/>
  <c r="D20" i="1"/>
  <c r="E20" i="1" s="1"/>
  <c r="D19" i="1"/>
  <c r="E19" i="1" s="1"/>
  <c r="D18" i="1"/>
  <c r="E18" i="1" s="1"/>
  <c r="D17" i="1"/>
  <c r="E17" i="1" s="1"/>
  <c r="D16" i="1"/>
  <c r="E16" i="1" s="1"/>
  <c r="D15" i="1"/>
  <c r="E15" i="1" s="1"/>
  <c r="D14" i="1"/>
  <c r="E14" i="1" s="1"/>
  <c r="F12" i="2"/>
  <c r="G12" i="2" s="1"/>
  <c r="D3" i="2"/>
  <c r="E3" i="2" s="1"/>
  <c r="F5" i="2"/>
  <c r="G5" i="2" s="1"/>
  <c r="F10" i="2"/>
  <c r="G10" i="2" s="1"/>
  <c r="D7" i="2"/>
  <c r="E7" i="2" s="1"/>
  <c r="H3" i="2"/>
  <c r="D11" i="2"/>
  <c r="F4" i="2"/>
  <c r="G4" i="2" s="1"/>
  <c r="F7" i="2"/>
  <c r="G7" i="2" s="1"/>
  <c r="F11" i="2"/>
  <c r="G11" i="2" s="1"/>
  <c r="D4" i="2"/>
  <c r="D8" i="2"/>
  <c r="D12" i="2"/>
  <c r="D5" i="2"/>
  <c r="D9" i="2"/>
  <c r="D6" i="2"/>
  <c r="G13" i="2" l="1"/>
  <c r="C28" i="2" s="1"/>
  <c r="E23" i="1"/>
  <c r="H10" i="2"/>
  <c r="E6" i="2"/>
  <c r="H6" i="2"/>
  <c r="E8" i="2"/>
  <c r="H8" i="2"/>
  <c r="E12" i="2"/>
  <c r="H12" i="2"/>
  <c r="E9" i="2"/>
  <c r="H9" i="2"/>
  <c r="E4" i="2"/>
  <c r="H4" i="2"/>
  <c r="H13" i="2" s="1"/>
  <c r="E11" i="2"/>
  <c r="H7" i="2"/>
  <c r="E5" i="2"/>
  <c r="H5" i="2"/>
  <c r="E13" i="2" l="1"/>
  <c r="D23" i="2" s="1"/>
  <c r="D24" i="2" l="1"/>
  <c r="I4" i="2" s="1"/>
  <c r="J4" i="2" s="1"/>
  <c r="K4" i="2" s="1"/>
  <c r="I6" i="2" l="1"/>
  <c r="J6" i="2" s="1"/>
  <c r="K6" i="2" s="1"/>
  <c r="I5" i="2"/>
  <c r="J5" i="2" s="1"/>
  <c r="K5" i="2" s="1"/>
  <c r="I12" i="2"/>
  <c r="J12" i="2" s="1"/>
  <c r="K12" i="2" s="1"/>
  <c r="I8" i="2"/>
  <c r="J8" i="2" s="1"/>
  <c r="K8" i="2" s="1"/>
  <c r="I11" i="2"/>
  <c r="J11" i="2" s="1"/>
  <c r="K11" i="2" s="1"/>
  <c r="I7" i="2"/>
  <c r="J7" i="2" s="1"/>
  <c r="K7" i="2" s="1"/>
  <c r="I3" i="2"/>
  <c r="J3" i="2" s="1"/>
  <c r="K3" i="2" s="1"/>
  <c r="I10" i="2"/>
  <c r="J10" i="2" s="1"/>
  <c r="K10" i="2" s="1"/>
  <c r="I9" i="2"/>
  <c r="J9" i="2" s="1"/>
  <c r="K9" i="2" s="1"/>
  <c r="K13" i="2" l="1"/>
  <c r="D28" i="2" l="1"/>
  <c r="D29" i="2" s="1"/>
  <c r="D35" i="2"/>
  <c r="E35" i="2" s="1"/>
</calcChain>
</file>

<file path=xl/sharedStrings.xml><?xml version="1.0" encoding="utf-8"?>
<sst xmlns="http://schemas.openxmlformats.org/spreadsheetml/2006/main" count="139" uniqueCount="62">
  <si>
    <t># Instance</t>
  </si>
  <si>
    <t>Reward Amount</t>
  </si>
  <si>
    <t>Ȳ</t>
  </si>
  <si>
    <t>Y - Ȳ</t>
  </si>
  <si>
    <t>(Y - Ȳ)^2</t>
  </si>
  <si>
    <t>Residuals Squared</t>
  </si>
  <si>
    <t>Sum of Squares (SST)</t>
  </si>
  <si>
    <t>Monthly Salary</t>
  </si>
  <si>
    <t>Xbar</t>
  </si>
  <si>
    <t>Ybar</t>
  </si>
  <si>
    <t>Salary Deviation</t>
  </si>
  <si>
    <t>Reward Deviation</t>
  </si>
  <si>
    <t>X</t>
  </si>
  <si>
    <t>Y</t>
  </si>
  <si>
    <t>(X-Xbar)</t>
  </si>
  <si>
    <t>Reward Deviation Sq</t>
  </si>
  <si>
    <t>Salary Deviation Sq</t>
  </si>
  <si>
    <t>(X-Xbar)^2</t>
  </si>
  <si>
    <t>(Y - Ȳ)</t>
  </si>
  <si>
    <t>(X-Xbar)*(Y - Ȳ)</t>
  </si>
  <si>
    <t>Deviation Product</t>
  </si>
  <si>
    <t>b1</t>
  </si>
  <si>
    <t>b0</t>
  </si>
  <si>
    <t>Predicted Reward</t>
  </si>
  <si>
    <t>Yhat</t>
  </si>
  <si>
    <t>(yi – ŷi)2</t>
  </si>
  <si>
    <t>yi – ŷi</t>
  </si>
  <si>
    <t>Sum of Squares (Regression)</t>
  </si>
  <si>
    <t>Sum of Squares (Error)</t>
  </si>
  <si>
    <t>SUMMARY OUTPUT</t>
  </si>
  <si>
    <t>Regression Statistics</t>
  </si>
  <si>
    <t>Multiple R</t>
  </si>
  <si>
    <t>R Square</t>
  </si>
  <si>
    <t>Adjusted R Square</t>
  </si>
  <si>
    <t>Standard Error</t>
  </si>
  <si>
    <t>Observations</t>
  </si>
  <si>
    <t>ANOVA</t>
  </si>
  <si>
    <t>Regression</t>
  </si>
  <si>
    <t>Residual</t>
  </si>
  <si>
    <t>Total</t>
  </si>
  <si>
    <t>Intercept</t>
  </si>
  <si>
    <t>df</t>
  </si>
  <si>
    <t>SS</t>
  </si>
  <si>
    <t>MS</t>
  </si>
  <si>
    <t>F</t>
  </si>
  <si>
    <t>Significance F</t>
  </si>
  <si>
    <t>Coefficients</t>
  </si>
  <si>
    <t>t Stat</t>
  </si>
  <si>
    <t>P-value</t>
  </si>
  <si>
    <t>Lower 95%</t>
  </si>
  <si>
    <t>Upper 95%</t>
  </si>
  <si>
    <t>Lower 95.0%</t>
  </si>
  <si>
    <t>Upper 95.0%</t>
  </si>
  <si>
    <t>X Variable 1</t>
  </si>
  <si>
    <t># years employed</t>
  </si>
  <si>
    <t>Week</t>
  </si>
  <si>
    <t>Space(x)</t>
  </si>
  <si>
    <t>Sales(y)</t>
  </si>
  <si>
    <t>RESIDUAL OUTPUT</t>
  </si>
  <si>
    <t>Observation</t>
  </si>
  <si>
    <t>Predicted Y</t>
  </si>
  <si>
    <t>Residuals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</si>
</sst>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 #,##0_ ;_ * \-#,##0_ ;_ * &quot;-&quot;_ ;_ @_ "/>
    <numFmt numFmtId="44" formatCode="_ &quot;₹&quot;\ * #,##0.00_ ;_ &quot;₹&quot;\ * \-#,##0.00_ ;_ &quot;₹&quot;\ * &quot;-&quot;??_ ;_ @_ "/>
    <numFmt numFmtId="43" formatCode="_ * #,##0.00_ ;_ * \-#,##0.00_ ;_ * &quot;-&quot;??_ ;_ @_ "/>
    <numFmt numFmtId="164" formatCode="_ [$₹-4009]\ * #,##0.00_ ;_ [$₹-4009]\ * \-#,##0.00_ ;_ [$₹-4009]\ * &quot;-&quot;??_ ;_ @_ "/>
    <numFmt numFmtId="165" formatCode="_ [$₹-4009]\ * #,##0_ ;_ [$₹-4009]\ * \-#,##0_ ;_ [$₹-4009]\ * &quot;-&quot;??_ ;_ @_ "/>
    <numFmt numFmtId="166" formatCode="0.0000"/>
    <numFmt numFmtId="167" formatCode="0.000"/>
    <numFmt numFmtId="168" formatCode="_ * #,##0_ ;_ * \-#,##0_ ;_ * &quot;-&quot;??_ ;_ @_ "/>
    <numFmt numFmtId="169" formatCode="0.0000000"/>
    <numFmt numFmtId="170" formatCode="0.00000000"/>
    <numFmt numFmtId="171" formatCode="_ * #,##0.000_ ;_ * \-#,##0.000_ ;_ * &quot;-&quot;??_ ;_ @_ "/>
  </numFmts>
  <fonts count="6" x14ac:knownFonts="1">
    <font>
      <sz val="11"/>
      <color theme="1"/>
      <name val="Calibri"/>
      <family val="2"/>
      <scheme val="minor"/>
    </font>
    <font>
      <sz val="11"/>
      <color theme="1"/>
      <name val="Calibri"/>
      <family val="2"/>
      <scheme val="minor"/>
    </font>
    <font>
      <b/>
      <sz val="11"/>
      <color theme="1"/>
      <name val="Calibri"/>
      <family val="2"/>
      <scheme val="minor"/>
    </font>
    <font>
      <b/>
      <sz val="11"/>
      <color theme="1"/>
      <name val="Calibri"/>
      <family val="2"/>
    </font>
    <font>
      <i/>
      <sz val="11"/>
      <color theme="1"/>
      <name val="Calibri"/>
      <family val="2"/>
      <scheme val="minor"/>
    </font>
    <font>
      <b/>
      <i/>
      <sz val="11"/>
      <color theme="1"/>
      <name val="Calibri"/>
      <family val="2"/>
      <scheme val="minor"/>
    </font>
  </fonts>
  <fills count="3">
    <fill>
      <patternFill patternType="none"/>
    </fill>
    <fill>
      <patternFill patternType="gray125"/>
    </fill>
    <fill>
      <patternFill patternType="solid">
        <fgColor rgb="FFFFFF00"/>
        <bgColor indexed="64"/>
      </patternFill>
    </fill>
  </fills>
  <borders count="3">
    <border>
      <left/>
      <right/>
      <top/>
      <bottom/>
      <diagonal/>
    </border>
    <border>
      <left/>
      <right/>
      <top/>
      <bottom style="medium">
        <color indexed="64"/>
      </bottom>
      <diagonal/>
    </border>
    <border>
      <left/>
      <right/>
      <top style="medium">
        <color indexed="64"/>
      </top>
      <bottom style="thin">
        <color indexed="64"/>
      </bottom>
      <diagonal/>
    </border>
  </borders>
  <cellStyleXfs count="4">
    <xf numFmtId="0" fontId="0" fillId="0" borderId="0"/>
    <xf numFmtId="9"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cellStyleXfs>
  <cellXfs count="33">
    <xf numFmtId="0" fontId="0" fillId="0" borderId="0" xfId="0"/>
    <xf numFmtId="165" fontId="0" fillId="0" borderId="0" xfId="0" applyNumberFormat="1"/>
    <xf numFmtId="0" fontId="0" fillId="0" borderId="0" xfId="0" applyAlignment="1">
      <alignment horizontal="center"/>
    </xf>
    <xf numFmtId="165" fontId="0" fillId="0" borderId="0" xfId="0" applyNumberFormat="1" applyAlignment="1">
      <alignment horizontal="center"/>
    </xf>
    <xf numFmtId="41" fontId="0" fillId="0" borderId="0" xfId="0" applyNumberFormat="1" applyAlignment="1">
      <alignment horizontal="center"/>
    </xf>
    <xf numFmtId="0" fontId="3" fillId="2" borderId="0" xfId="0" applyFont="1" applyFill="1" applyAlignment="1">
      <alignment horizontal="center"/>
    </xf>
    <xf numFmtId="165" fontId="2" fillId="2" borderId="0" xfId="0" applyNumberFormat="1" applyFont="1" applyFill="1" applyAlignment="1">
      <alignment horizontal="center"/>
    </xf>
    <xf numFmtId="165" fontId="2" fillId="0" borderId="0" xfId="0" applyNumberFormat="1" applyFont="1" applyAlignment="1">
      <alignment horizontal="center"/>
    </xf>
    <xf numFmtId="41" fontId="2" fillId="0" borderId="0" xfId="0" applyNumberFormat="1" applyFont="1" applyAlignment="1">
      <alignment horizontal="center"/>
    </xf>
    <xf numFmtId="0" fontId="2" fillId="0" borderId="0" xfId="0" applyFont="1" applyAlignment="1">
      <alignment horizontal="center"/>
    </xf>
    <xf numFmtId="0" fontId="4" fillId="0" borderId="0" xfId="0" applyFont="1" applyAlignment="1">
      <alignment horizontal="center"/>
    </xf>
    <xf numFmtId="0" fontId="2" fillId="0" borderId="0" xfId="0" applyFont="1"/>
    <xf numFmtId="0" fontId="0" fillId="2" borderId="0" xfId="0" applyFill="1" applyAlignment="1">
      <alignment horizontal="center"/>
    </xf>
    <xf numFmtId="167" fontId="0" fillId="2" borderId="0" xfId="0" applyNumberFormat="1" applyFill="1" applyAlignment="1">
      <alignment horizontal="center"/>
    </xf>
    <xf numFmtId="164" fontId="0" fillId="0" borderId="0" xfId="0" applyNumberFormat="1" applyAlignment="1">
      <alignment horizontal="center"/>
    </xf>
    <xf numFmtId="165" fontId="2" fillId="0" borderId="0" xfId="0" applyNumberFormat="1" applyFont="1" applyFill="1" applyAlignment="1">
      <alignment horizontal="center"/>
    </xf>
    <xf numFmtId="0" fontId="3" fillId="0" borderId="0" xfId="0" applyFont="1" applyFill="1" applyAlignment="1">
      <alignment horizontal="center"/>
    </xf>
    <xf numFmtId="0" fontId="5" fillId="0" borderId="0" xfId="0" applyFont="1" applyAlignment="1">
      <alignment horizontal="center"/>
    </xf>
    <xf numFmtId="166" fontId="0" fillId="0" borderId="0" xfId="0" applyNumberFormat="1"/>
    <xf numFmtId="10" fontId="0" fillId="0" borderId="0" xfId="1" applyNumberFormat="1" applyFont="1"/>
    <xf numFmtId="0" fontId="0" fillId="0" borderId="0" xfId="0" applyFill="1" applyBorder="1" applyAlignment="1"/>
    <xf numFmtId="0" fontId="0" fillId="0" borderId="1" xfId="0" applyFill="1" applyBorder="1" applyAlignment="1"/>
    <xf numFmtId="0" fontId="4" fillId="0" borderId="2" xfId="0" applyFont="1" applyFill="1" applyBorder="1" applyAlignment="1">
      <alignment horizontal="center"/>
    </xf>
    <xf numFmtId="0" fontId="4" fillId="0" borderId="2" xfId="0" applyFont="1" applyFill="1" applyBorder="1" applyAlignment="1">
      <alignment horizontal="centerContinuous"/>
    </xf>
    <xf numFmtId="41" fontId="0" fillId="0" borderId="0" xfId="2" applyNumberFormat="1" applyFont="1" applyAlignment="1">
      <alignment horizontal="center"/>
    </xf>
    <xf numFmtId="168" fontId="0" fillId="0" borderId="0" xfId="3" applyNumberFormat="1" applyFont="1"/>
    <xf numFmtId="168" fontId="0" fillId="0" borderId="0" xfId="3" applyNumberFormat="1" applyFont="1" applyAlignment="1">
      <alignment horizontal="center"/>
    </xf>
    <xf numFmtId="169" fontId="0" fillId="0" borderId="0" xfId="0" applyNumberFormat="1"/>
    <xf numFmtId="170" fontId="0" fillId="0" borderId="0" xfId="0" applyNumberFormat="1"/>
    <xf numFmtId="2" fontId="2" fillId="0" borderId="0" xfId="0" applyNumberFormat="1" applyFont="1" applyAlignment="1">
      <alignment horizontal="center"/>
    </xf>
    <xf numFmtId="2" fontId="0" fillId="0" borderId="0" xfId="0" applyNumberFormat="1" applyAlignment="1">
      <alignment horizontal="center"/>
    </xf>
    <xf numFmtId="43" fontId="0" fillId="2" borderId="0" xfId="0" applyNumberFormat="1" applyFill="1" applyAlignment="1">
      <alignment horizontal="center"/>
    </xf>
    <xf numFmtId="171" fontId="0" fillId="2" borderId="0" xfId="0" applyNumberFormat="1" applyFill="1" applyAlignment="1">
      <alignment horizontal="center"/>
    </xf>
  </cellXfs>
  <cellStyles count="4">
    <cellStyle name="Comma" xfId="3" builtinId="3"/>
    <cellStyle name="Currency" xfId="2" builtinId="4"/>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rnd">
              <a:noFill/>
              <a:round/>
            </a:ln>
            <a:effectLst/>
          </c:spPr>
          <c:marker>
            <c:symbol val="circle"/>
            <c:size val="6"/>
            <c:spPr>
              <a:solidFill>
                <a:schemeClr val="lt1"/>
              </a:solidFill>
              <a:ln w="38100">
                <a:solidFill>
                  <a:schemeClr val="accent1">
                    <a:alpha val="60000"/>
                  </a:schemeClr>
                </a:solidFill>
              </a:ln>
              <a:effectLst/>
            </c:spPr>
          </c:marker>
          <c:xVal>
            <c:numRef>
              <c:f>'P1'!$B$13:$B$22</c:f>
              <c:numCache>
                <c:formatCode>General</c:formatCode>
                <c:ptCount val="10"/>
                <c:pt idx="0">
                  <c:v>1</c:v>
                </c:pt>
                <c:pt idx="1">
                  <c:v>2</c:v>
                </c:pt>
                <c:pt idx="2">
                  <c:v>3</c:v>
                </c:pt>
                <c:pt idx="3">
                  <c:v>4</c:v>
                </c:pt>
                <c:pt idx="4">
                  <c:v>5</c:v>
                </c:pt>
                <c:pt idx="5">
                  <c:v>6</c:v>
                </c:pt>
                <c:pt idx="6">
                  <c:v>7</c:v>
                </c:pt>
                <c:pt idx="7">
                  <c:v>8</c:v>
                </c:pt>
                <c:pt idx="8">
                  <c:v>9</c:v>
                </c:pt>
                <c:pt idx="9">
                  <c:v>10</c:v>
                </c:pt>
              </c:numCache>
            </c:numRef>
          </c:xVal>
          <c:yVal>
            <c:numRef>
              <c:f>'P1'!$C$13:$C$22</c:f>
              <c:numCache>
                <c:formatCode>_ [$₹-4009]\ * #,##0_ ;_ [$₹-4009]\ * \-#,##0_ ;_ [$₹-4009]\ * "-"??_ ;_ @_ </c:formatCode>
                <c:ptCount val="10"/>
                <c:pt idx="0">
                  <c:v>250</c:v>
                </c:pt>
                <c:pt idx="1">
                  <c:v>850</c:v>
                </c:pt>
                <c:pt idx="2">
                  <c:v>550</c:v>
                </c:pt>
                <c:pt idx="3">
                  <c:v>400</c:v>
                </c:pt>
                <c:pt idx="4">
                  <c:v>700</c:v>
                </c:pt>
                <c:pt idx="5">
                  <c:v>250</c:v>
                </c:pt>
                <c:pt idx="6">
                  <c:v>600</c:v>
                </c:pt>
                <c:pt idx="7">
                  <c:v>900</c:v>
                </c:pt>
                <c:pt idx="8">
                  <c:v>450</c:v>
                </c:pt>
                <c:pt idx="9">
                  <c:v>650</c:v>
                </c:pt>
              </c:numCache>
            </c:numRef>
          </c:yVal>
          <c:smooth val="0"/>
          <c:extLst>
            <c:ext xmlns:c16="http://schemas.microsoft.com/office/drawing/2014/chart" uri="{C3380CC4-5D6E-409C-BE32-E72D297353CC}">
              <c16:uniqueId val="{00000000-FB29-4B72-8C74-B3B76BCD0642}"/>
            </c:ext>
          </c:extLst>
        </c:ser>
        <c:dLbls>
          <c:showLegendKey val="0"/>
          <c:showVal val="0"/>
          <c:showCatName val="0"/>
          <c:showSerName val="0"/>
          <c:showPercent val="0"/>
          <c:showBubbleSize val="0"/>
        </c:dLbls>
        <c:axId val="1386379791"/>
        <c:axId val="1386378959"/>
      </c:scatterChart>
      <c:valAx>
        <c:axId val="138637979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tx1">
                <a:lumMod val="15000"/>
                <a:lumOff val="85000"/>
              </a:schemeClr>
            </a:solidFill>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386378959"/>
        <c:crosses val="autoZero"/>
        <c:crossBetween val="midCat"/>
      </c:valAx>
      <c:valAx>
        <c:axId val="1386378959"/>
        <c:scaling>
          <c:orientation val="minMax"/>
        </c:scaling>
        <c:delete val="0"/>
        <c:axPos val="l"/>
        <c:majorGridlines>
          <c:spPr>
            <a:ln w="9525" cap="flat" cmpd="sng" algn="ctr">
              <a:solidFill>
                <a:schemeClr val="tx1">
                  <a:lumMod val="15000"/>
                  <a:lumOff val="85000"/>
                </a:schemeClr>
              </a:solidFill>
              <a:round/>
            </a:ln>
            <a:effectLst/>
          </c:spPr>
        </c:majorGridlines>
        <c:numFmt formatCode="_ [$₹-4009]\ * #,##0_ ;_ [$₹-4009]\ * \-#,##0_ ;_ [$₹-4009]\ * &quot;-&quot;??_ ;_ @_ " sourceLinked="1"/>
        <c:majorTickMark val="none"/>
        <c:minorTickMark val="none"/>
        <c:tickLblPos val="nextTo"/>
        <c:spPr>
          <a:noFill/>
          <a:ln>
            <a:solidFill>
              <a:schemeClr val="tx1">
                <a:lumMod val="25000"/>
                <a:lumOff val="75000"/>
              </a:schemeClr>
            </a:solid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386379791"/>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IN"/>
              <a:t>X Variable 1 Line Fit  Plot</a:t>
            </a:r>
          </a:p>
        </c:rich>
      </c:tx>
      <c:overlay val="0"/>
    </c:title>
    <c:autoTitleDeleted val="0"/>
    <c:plotArea>
      <c:layout/>
      <c:scatterChart>
        <c:scatterStyle val="lineMarker"/>
        <c:varyColors val="0"/>
        <c:ser>
          <c:idx val="0"/>
          <c:order val="0"/>
          <c:tx>
            <c:v>Y</c:v>
          </c:tx>
          <c:spPr>
            <a:ln w="19050">
              <a:noFill/>
            </a:ln>
          </c:spPr>
          <c:xVal>
            <c:numRef>
              <c:f>'P2'!$B$3:$B$12</c:f>
              <c:numCache>
                <c:formatCode>_ [$₹-4009]\ * #,##0_ ;_ [$₹-4009]\ * \-#,##0_ ;_ [$₹-4009]\ * "-"??_ ;_ @_ </c:formatCode>
                <c:ptCount val="10"/>
                <c:pt idx="0">
                  <c:v>1700</c:v>
                </c:pt>
                <c:pt idx="1">
                  <c:v>5400</c:v>
                </c:pt>
                <c:pt idx="2">
                  <c:v>3200</c:v>
                </c:pt>
                <c:pt idx="3">
                  <c:v>4400</c:v>
                </c:pt>
                <c:pt idx="4">
                  <c:v>4950</c:v>
                </c:pt>
                <c:pt idx="5">
                  <c:v>2550</c:v>
                </c:pt>
                <c:pt idx="6">
                  <c:v>3600</c:v>
                </c:pt>
                <c:pt idx="7">
                  <c:v>6000</c:v>
                </c:pt>
                <c:pt idx="8">
                  <c:v>4500</c:v>
                </c:pt>
                <c:pt idx="9">
                  <c:v>5200</c:v>
                </c:pt>
              </c:numCache>
            </c:numRef>
          </c:xVal>
          <c:yVal>
            <c:numRef>
              <c:f>'P2'!$C$3:$C$12</c:f>
              <c:numCache>
                <c:formatCode>_ [$₹-4009]\ * #,##0_ ;_ [$₹-4009]\ * \-#,##0_ ;_ [$₹-4009]\ * "-"??_ ;_ @_ </c:formatCode>
                <c:ptCount val="10"/>
                <c:pt idx="0">
                  <c:v>250</c:v>
                </c:pt>
                <c:pt idx="1">
                  <c:v>850</c:v>
                </c:pt>
                <c:pt idx="2">
                  <c:v>550</c:v>
                </c:pt>
                <c:pt idx="3">
                  <c:v>400</c:v>
                </c:pt>
                <c:pt idx="4">
                  <c:v>700</c:v>
                </c:pt>
                <c:pt idx="5">
                  <c:v>250</c:v>
                </c:pt>
                <c:pt idx="6">
                  <c:v>600</c:v>
                </c:pt>
                <c:pt idx="7">
                  <c:v>900</c:v>
                </c:pt>
                <c:pt idx="8">
                  <c:v>450</c:v>
                </c:pt>
                <c:pt idx="9">
                  <c:v>650</c:v>
                </c:pt>
              </c:numCache>
            </c:numRef>
          </c:yVal>
          <c:smooth val="0"/>
          <c:extLst>
            <c:ext xmlns:c16="http://schemas.microsoft.com/office/drawing/2014/chart" uri="{C3380CC4-5D6E-409C-BE32-E72D297353CC}">
              <c16:uniqueId val="{00000003-3549-4B0B-BEE0-AC7333CAE948}"/>
            </c:ext>
          </c:extLst>
        </c:ser>
        <c:ser>
          <c:idx val="1"/>
          <c:order val="1"/>
          <c:tx>
            <c:v>Predicted Y</c:v>
          </c:tx>
          <c:spPr>
            <a:ln w="19050">
              <a:noFill/>
            </a:ln>
          </c:spPr>
          <c:xVal>
            <c:numRef>
              <c:f>'P2'!$B$3:$B$12</c:f>
              <c:numCache>
                <c:formatCode>_ [$₹-4009]\ * #,##0_ ;_ [$₹-4009]\ * \-#,##0_ ;_ [$₹-4009]\ * "-"??_ ;_ @_ </c:formatCode>
                <c:ptCount val="10"/>
                <c:pt idx="0">
                  <c:v>1700</c:v>
                </c:pt>
                <c:pt idx="1">
                  <c:v>5400</c:v>
                </c:pt>
                <c:pt idx="2">
                  <c:v>3200</c:v>
                </c:pt>
                <c:pt idx="3">
                  <c:v>4400</c:v>
                </c:pt>
                <c:pt idx="4">
                  <c:v>4950</c:v>
                </c:pt>
                <c:pt idx="5">
                  <c:v>2550</c:v>
                </c:pt>
                <c:pt idx="6">
                  <c:v>3600</c:v>
                </c:pt>
                <c:pt idx="7">
                  <c:v>6000</c:v>
                </c:pt>
                <c:pt idx="8">
                  <c:v>4500</c:v>
                </c:pt>
                <c:pt idx="9">
                  <c:v>5200</c:v>
                </c:pt>
              </c:numCache>
            </c:numRef>
          </c:xVal>
          <c:yVal>
            <c:numRef>
              <c:f>Sheet4!$B$25:$B$34</c:f>
              <c:numCache>
                <c:formatCode>General</c:formatCode>
                <c:ptCount val="10"/>
                <c:pt idx="0">
                  <c:v>212.99010791366902</c:v>
                </c:pt>
                <c:pt idx="1">
                  <c:v>737.04586330935263</c:v>
                </c:pt>
                <c:pt idx="2">
                  <c:v>425.4451438848921</c:v>
                </c:pt>
                <c:pt idx="3">
                  <c:v>595.40917266187057</c:v>
                </c:pt>
                <c:pt idx="4">
                  <c:v>673.30935251798564</c:v>
                </c:pt>
                <c:pt idx="5">
                  <c:v>333.38129496402877</c:v>
                </c:pt>
                <c:pt idx="6">
                  <c:v>482.09982014388493</c:v>
                </c:pt>
                <c:pt idx="7">
                  <c:v>822.02787769784186</c:v>
                </c:pt>
                <c:pt idx="8">
                  <c:v>609.57284172661878</c:v>
                </c:pt>
                <c:pt idx="9">
                  <c:v>708.71852517985621</c:v>
                </c:pt>
              </c:numCache>
            </c:numRef>
          </c:yVal>
          <c:smooth val="0"/>
          <c:extLst>
            <c:ext xmlns:c16="http://schemas.microsoft.com/office/drawing/2014/chart" uri="{C3380CC4-5D6E-409C-BE32-E72D297353CC}">
              <c16:uniqueId val="{00000004-3549-4B0B-BEE0-AC7333CAE948}"/>
            </c:ext>
          </c:extLst>
        </c:ser>
        <c:dLbls>
          <c:showLegendKey val="0"/>
          <c:showVal val="0"/>
          <c:showCatName val="0"/>
          <c:showSerName val="0"/>
          <c:showPercent val="0"/>
          <c:showBubbleSize val="0"/>
        </c:dLbls>
        <c:axId val="1186831327"/>
        <c:axId val="1171585679"/>
      </c:scatterChart>
      <c:valAx>
        <c:axId val="1186831327"/>
        <c:scaling>
          <c:orientation val="minMax"/>
        </c:scaling>
        <c:delete val="0"/>
        <c:axPos val="b"/>
        <c:title>
          <c:tx>
            <c:rich>
              <a:bodyPr/>
              <a:lstStyle/>
              <a:p>
                <a:pPr>
                  <a:defRPr/>
                </a:pPr>
                <a:r>
                  <a:rPr lang="en-IN"/>
                  <a:t>X Variable 1</a:t>
                </a:r>
              </a:p>
            </c:rich>
          </c:tx>
          <c:overlay val="0"/>
        </c:title>
        <c:numFmt formatCode="_ [$₹-4009]\ * #,##0_ ;_ [$₹-4009]\ * \-#,##0_ ;_ [$₹-4009]\ * &quot;-&quot;??_ ;_ @_ " sourceLinked="1"/>
        <c:majorTickMark val="out"/>
        <c:minorTickMark val="none"/>
        <c:tickLblPos val="nextTo"/>
        <c:crossAx val="1171585679"/>
        <c:crosses val="autoZero"/>
        <c:crossBetween val="midCat"/>
      </c:valAx>
      <c:valAx>
        <c:axId val="1171585679"/>
        <c:scaling>
          <c:orientation val="minMax"/>
        </c:scaling>
        <c:delete val="0"/>
        <c:axPos val="l"/>
        <c:title>
          <c:tx>
            <c:rich>
              <a:bodyPr/>
              <a:lstStyle/>
              <a:p>
                <a:pPr>
                  <a:defRPr/>
                </a:pPr>
                <a:r>
                  <a:rPr lang="en-IN"/>
                  <a:t>Y</a:t>
                </a:r>
              </a:p>
            </c:rich>
          </c:tx>
          <c:overlay val="0"/>
        </c:title>
        <c:numFmt formatCode="_ [$₹-4009]\ * #,##0_ ;_ [$₹-4009]\ * \-#,##0_ ;_ [$₹-4009]\ * &quot;-&quot;??_ ;_ @_ " sourceLinked="1"/>
        <c:majorTickMark val="out"/>
        <c:minorTickMark val="none"/>
        <c:tickLblPos val="nextTo"/>
        <c:crossAx val="1186831327"/>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a:solidFill>
          <a:schemeClr val="tx1">
            <a:lumMod val="15000"/>
            <a:lumOff val="85000"/>
          </a:schemeClr>
        </a:solidFill>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19050" cap="rnd">
        <a:solidFill>
          <a:schemeClr val="phClr">
            <a:alpha val="60000"/>
          </a:schemeClr>
        </a:solidFill>
        <a:round/>
      </a:ln>
    </cs:spPr>
  </cs:dataPointLine>
  <cs:dataPointMarker>
    <cs:lnRef idx="0">
      <cs:styleClr val="auto"/>
    </cs:lnRef>
    <cs:fillRef idx="0">
      <cs:styleClr val="auto"/>
    </cs:fillRef>
    <cs:effectRef idx="0"/>
    <cs:fontRef idx="minor">
      <a:schemeClr val="dk1"/>
    </cs:fontRef>
    <cs:spPr>
      <a:solidFill>
        <a:schemeClr val="lt1"/>
      </a:solidFill>
      <a:ln w="38100">
        <a:solidFill>
          <a:schemeClr val="phClr">
            <a:alpha val="60000"/>
          </a:scheme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a:solidFill>
          <a:schemeClr val="tx1">
            <a:lumMod val="15000"/>
            <a:lumOff val="85000"/>
          </a:schemeClr>
        </a:solidFill>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a:solidFill>
          <a:schemeClr val="tx1">
            <a:lumMod val="25000"/>
            <a:lumOff val="75000"/>
          </a:schemeClr>
        </a:solidFill>
      </a:ln>
    </cs:spPr>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285750</xdr:colOff>
      <xdr:row>1</xdr:row>
      <xdr:rowOff>19050</xdr:rowOff>
    </xdr:from>
    <xdr:ext cx="9737474" cy="1626471"/>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85750" y="209550"/>
          <a:ext cx="9737474" cy="16264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rtl="0" eaLnBrk="0" fontAlgn="base" hangingPunct="0"/>
          <a:r>
            <a:rPr lang="en-US" sz="1400">
              <a:solidFill>
                <a:schemeClr val="tx1"/>
              </a:solidFill>
              <a:effectLst/>
              <a:latin typeface="+mn-lt"/>
              <a:ea typeface="+mn-ea"/>
              <a:cs typeface="+mn-cs"/>
            </a:rPr>
            <a:t>In India, whenever we have festivals in our calendars, our support staff/ helpers expect festival rewards. </a:t>
          </a:r>
          <a:endParaRPr lang="en-IN" sz="1400">
            <a:effectLst/>
          </a:endParaRPr>
        </a:p>
        <a:p>
          <a:pPr rtl="0" eaLnBrk="0" fontAlgn="base" hangingPunct="0"/>
          <a:r>
            <a:rPr lang="en-US" sz="1400">
              <a:solidFill>
                <a:schemeClr val="tx1"/>
              </a:solidFill>
              <a:effectLst/>
              <a:latin typeface="+mn-lt"/>
              <a:ea typeface="+mn-ea"/>
              <a:cs typeface="+mn-cs"/>
            </a:rPr>
            <a:t>We roughly calculate this reward in proportion to the monthly salary we pay to them. A 12-hour helper is likely to get more reward</a:t>
          </a:r>
          <a:endParaRPr lang="en-IN" sz="1400">
            <a:effectLst/>
          </a:endParaRPr>
        </a:p>
        <a:p>
          <a:pPr rtl="0" eaLnBrk="0" fontAlgn="base" hangingPunct="0"/>
          <a:r>
            <a:rPr lang="en-US" sz="1400">
              <a:solidFill>
                <a:schemeClr val="tx1"/>
              </a:solidFill>
              <a:effectLst/>
              <a:latin typeface="+mn-lt"/>
              <a:ea typeface="+mn-ea"/>
              <a:cs typeface="+mn-cs"/>
            </a:rPr>
            <a:t>amount, while a 1-hour helper would get a smaller reward amount.</a:t>
          </a:r>
          <a:endParaRPr lang="en-IN" sz="1400">
            <a:effectLst/>
          </a:endParaRPr>
        </a:p>
        <a:p>
          <a:pPr rtl="0" eaLnBrk="0" fontAlgn="base" hangingPunct="0"/>
          <a:r>
            <a:rPr lang="en-US" sz="1400">
              <a:solidFill>
                <a:schemeClr val="tx1"/>
              </a:solidFill>
              <a:effectLst/>
              <a:latin typeface="+mn-lt"/>
              <a:ea typeface="+mn-ea"/>
              <a:cs typeface="+mn-cs"/>
            </a:rPr>
            <a:t>If you’re heading a large organization, you may like to develop a model to suggest the reward amounts of people in support staff.</a:t>
          </a:r>
          <a:endParaRPr lang="en-IN" sz="1400">
            <a:effectLst/>
          </a:endParaRPr>
        </a:p>
        <a:p>
          <a:pPr rtl="0" eaLnBrk="0" fontAlgn="base" hangingPunct="0"/>
          <a:r>
            <a:rPr lang="en-US" sz="1400">
              <a:solidFill>
                <a:schemeClr val="tx1"/>
              </a:solidFill>
              <a:effectLst/>
              <a:latin typeface="+mn-lt"/>
              <a:ea typeface="+mn-ea"/>
              <a:cs typeface="+mn-cs"/>
            </a:rPr>
            <a:t>To do, you decide to collate the data for last ten such festive instances. When you begin to do this, you realize that you remember</a:t>
          </a:r>
          <a:endParaRPr lang="en-IN" sz="1400">
            <a:effectLst/>
          </a:endParaRPr>
        </a:p>
        <a:p>
          <a:pPr rtl="0" eaLnBrk="0" fontAlgn="base" hangingPunct="0"/>
          <a:r>
            <a:rPr lang="en-US" sz="1400">
              <a:solidFill>
                <a:schemeClr val="tx1"/>
              </a:solidFill>
              <a:effectLst/>
              <a:latin typeface="+mn-lt"/>
              <a:ea typeface="+mn-ea"/>
              <a:cs typeface="+mn-cs"/>
            </a:rPr>
            <a:t>the last ten reward amounts that were paid but not the respective salaries of the particular staff employed at that time.</a:t>
          </a:r>
          <a:endParaRPr lang="en-IN" sz="1400">
            <a:effectLst/>
          </a:endParaRPr>
        </a:p>
        <a:p>
          <a:pPr marL="0" marR="0" lvl="0" indent="0" defTabSz="914400" rtl="0" eaLnBrk="1" fontAlgn="auto" latinLnBrk="0" hangingPunct="1">
            <a:lnSpc>
              <a:spcPct val="100000"/>
            </a:lnSpc>
            <a:spcBef>
              <a:spcPts val="0"/>
            </a:spcBef>
            <a:spcAft>
              <a:spcPts val="0"/>
            </a:spcAft>
            <a:buClrTx/>
            <a:buSzTx/>
            <a:buFontTx/>
            <a:buNone/>
            <a:tabLst/>
            <a:defRPr/>
          </a:pPr>
          <a:r>
            <a:rPr lang="en-US" sz="1400" i="1">
              <a:solidFill>
                <a:schemeClr val="tx1"/>
              </a:solidFill>
              <a:effectLst/>
              <a:latin typeface="+mn-lt"/>
              <a:ea typeface="+mn-ea"/>
              <a:cs typeface="+mn-cs"/>
            </a:rPr>
            <a:t>Use this data to predict the reward amount for the upcoming festival!</a:t>
          </a:r>
          <a:endParaRPr lang="en-IN" sz="1400" i="1">
            <a:effectLst/>
          </a:endParaRPr>
        </a:p>
      </xdr:txBody>
    </xdr:sp>
    <xdr:clientData/>
  </xdr:oneCellAnchor>
  <xdr:twoCellAnchor>
    <xdr:from>
      <xdr:col>5</xdr:col>
      <xdr:colOff>600075</xdr:colOff>
      <xdr:row>10</xdr:row>
      <xdr:rowOff>38100</xdr:rowOff>
    </xdr:from>
    <xdr:to>
      <xdr:col>13</xdr:col>
      <xdr:colOff>295275</xdr:colOff>
      <xdr:row>24</xdr:row>
      <xdr:rowOff>114300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427892</xdr:colOff>
      <xdr:row>16</xdr:row>
      <xdr:rowOff>29309</xdr:rowOff>
    </xdr:from>
    <xdr:to>
      <xdr:col>13</xdr:col>
      <xdr:colOff>128954</xdr:colOff>
      <xdr:row>17</xdr:row>
      <xdr:rowOff>146538</xdr:rowOff>
    </xdr:to>
    <xdr:cxnSp macro="">
      <xdr:nvCxnSpPr>
        <xdr:cNvPr id="5" name="Straight Connector 4">
          <a:extLst>
            <a:ext uri="{FF2B5EF4-FFF2-40B4-BE49-F238E27FC236}">
              <a16:creationId xmlns:a16="http://schemas.microsoft.com/office/drawing/2014/main" id="{00000000-0008-0000-0000-000005000000}"/>
            </a:ext>
          </a:extLst>
        </xdr:cNvPr>
        <xdr:cNvCxnSpPr/>
      </xdr:nvCxnSpPr>
      <xdr:spPr>
        <a:xfrm flipV="1">
          <a:off x="5193323" y="2936632"/>
          <a:ext cx="3968262" cy="298937"/>
        </a:xfrm>
        <a:prstGeom prst="line">
          <a:avLst/>
        </a:prstGeom>
        <a:ln>
          <a:solidFill>
            <a:srgbClr val="FF0000"/>
          </a:solidFill>
        </a:ln>
      </xdr:spPr>
      <xdr:style>
        <a:lnRef idx="2">
          <a:schemeClr val="accent2"/>
        </a:lnRef>
        <a:fillRef idx="0">
          <a:schemeClr val="accent2"/>
        </a:fillRef>
        <a:effectRef idx="1">
          <a:schemeClr val="accent2"/>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251460</xdr:colOff>
      <xdr:row>0</xdr:row>
      <xdr:rowOff>175260</xdr:rowOff>
    </xdr:from>
    <xdr:to>
      <xdr:col>15</xdr:col>
      <xdr:colOff>251460</xdr:colOff>
      <xdr:row>10</xdr:row>
      <xdr:rowOff>175260</xdr:rowOff>
    </xdr:to>
    <xdr:graphicFrame macro="">
      <xdr:nvGraphicFramePr>
        <xdr:cNvPr id="2" name="Chart 1">
          <a:extLst>
            <a:ext uri="{FF2B5EF4-FFF2-40B4-BE49-F238E27FC236}">
              <a16:creationId xmlns:a16="http://schemas.microsoft.com/office/drawing/2014/main" id="{67F8F32A-49BE-472A-AFB0-CF3DC364AB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2</xdr:col>
      <xdr:colOff>561975</xdr:colOff>
      <xdr:row>17</xdr:row>
      <xdr:rowOff>9525</xdr:rowOff>
    </xdr:from>
    <xdr:ext cx="1032655" cy="264560"/>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181225" y="3629025"/>
          <a:ext cx="10326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cy-GB" sz="1100" b="1">
              <a:solidFill>
                <a:schemeClr val="tx1"/>
              </a:solidFill>
              <a:effectLst/>
              <a:latin typeface="+mn-lt"/>
              <a:ea typeface="+mn-ea"/>
              <a:cs typeface="+mn-cs"/>
            </a:rPr>
            <a:t>ŷ =</a:t>
          </a:r>
          <a:r>
            <a:rPr lang="cy-GB" sz="1100">
              <a:solidFill>
                <a:schemeClr val="tx1"/>
              </a:solidFill>
              <a:effectLst/>
              <a:latin typeface="+mn-lt"/>
              <a:ea typeface="+mn-ea"/>
              <a:cs typeface="+mn-cs"/>
            </a:rPr>
            <a:t> </a:t>
          </a:r>
          <a:r>
            <a:rPr lang="en-US" sz="1100" b="1">
              <a:solidFill>
                <a:schemeClr val="tx1"/>
              </a:solidFill>
              <a:effectLst/>
              <a:latin typeface="+mn-lt"/>
              <a:ea typeface="+mn-ea"/>
              <a:cs typeface="+mn-cs"/>
            </a:rPr>
            <a:t>b</a:t>
          </a:r>
          <a:r>
            <a:rPr lang="en-US" sz="1100" b="1" baseline="-25000">
              <a:solidFill>
                <a:schemeClr val="tx1"/>
              </a:solidFill>
              <a:effectLst/>
              <a:latin typeface="+mn-lt"/>
              <a:ea typeface="+mn-ea"/>
              <a:cs typeface="+mn-cs"/>
            </a:rPr>
            <a:t>o</a:t>
          </a:r>
          <a:r>
            <a:rPr lang="en-US" sz="1100" b="1">
              <a:solidFill>
                <a:schemeClr val="tx1"/>
              </a:solidFill>
              <a:effectLst/>
              <a:latin typeface="+mn-lt"/>
              <a:ea typeface="+mn-ea"/>
              <a:cs typeface="+mn-cs"/>
            </a:rPr>
            <a:t> + b</a:t>
          </a:r>
          <a:r>
            <a:rPr lang="en-US" sz="1100" b="1" baseline="-25000">
              <a:solidFill>
                <a:schemeClr val="tx1"/>
              </a:solidFill>
              <a:effectLst/>
              <a:latin typeface="+mn-lt"/>
              <a:ea typeface="+mn-ea"/>
              <a:cs typeface="+mn-cs"/>
            </a:rPr>
            <a:t>1</a:t>
          </a:r>
          <a:r>
            <a:rPr lang="en-US" sz="1100" b="1">
              <a:solidFill>
                <a:schemeClr val="tx1"/>
              </a:solidFill>
              <a:effectLst/>
              <a:latin typeface="+mn-lt"/>
              <a:ea typeface="+mn-ea"/>
              <a:cs typeface="+mn-cs"/>
            </a:rPr>
            <a:t>x + </a:t>
          </a:r>
          <a:r>
            <a:rPr lang="el-GR" sz="1100" b="1">
              <a:solidFill>
                <a:schemeClr val="tx1"/>
              </a:solidFill>
              <a:effectLst/>
              <a:latin typeface="+mn-lt"/>
              <a:ea typeface="+mn-ea"/>
              <a:cs typeface="+mn-cs"/>
            </a:rPr>
            <a:t>ε</a:t>
          </a:r>
          <a:endParaRPr lang="en-IN" sz="1100"/>
        </a:p>
      </xdr:txBody>
    </xdr:sp>
    <xdr:clientData/>
  </xdr:oneCellAnchor>
  <xdr:oneCellAnchor>
    <xdr:from>
      <xdr:col>2</xdr:col>
      <xdr:colOff>523875</xdr:colOff>
      <xdr:row>18</xdr:row>
      <xdr:rowOff>104775</xdr:rowOff>
    </xdr:from>
    <xdr:ext cx="2262158" cy="436786"/>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143125" y="3914775"/>
          <a:ext cx="2262158"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100">
              <a:solidFill>
                <a:schemeClr val="tx1"/>
              </a:solidFill>
              <a:effectLst/>
              <a:latin typeface="+mn-lt"/>
              <a:ea typeface="+mn-ea"/>
              <a:cs typeface="+mn-cs"/>
            </a:rPr>
            <a:t>b</a:t>
          </a:r>
          <a:r>
            <a:rPr lang="en-US" sz="1100" baseline="-25000">
              <a:solidFill>
                <a:schemeClr val="tx1"/>
              </a:solidFill>
              <a:effectLst/>
              <a:latin typeface="+mn-lt"/>
              <a:ea typeface="+mn-ea"/>
              <a:cs typeface="+mn-cs"/>
            </a:rPr>
            <a:t>1 </a:t>
          </a:r>
          <a:r>
            <a:rPr lang="en-US" sz="1100">
              <a:solidFill>
                <a:schemeClr val="tx1"/>
              </a:solidFill>
              <a:effectLst/>
              <a:latin typeface="+mn-lt"/>
              <a:ea typeface="+mn-ea"/>
              <a:cs typeface="+mn-cs"/>
            </a:rPr>
            <a:t>= [∑ (x</a:t>
          </a:r>
          <a:r>
            <a:rPr lang="en-US" sz="1100" baseline="-25000">
              <a:solidFill>
                <a:schemeClr val="tx1"/>
              </a:solidFill>
              <a:effectLst/>
              <a:latin typeface="+mn-lt"/>
              <a:ea typeface="+mn-ea"/>
              <a:cs typeface="+mn-cs"/>
            </a:rPr>
            <a:t>i</a:t>
          </a:r>
          <a:r>
            <a:rPr lang="en-US" sz="1100">
              <a:solidFill>
                <a:schemeClr val="tx1"/>
              </a:solidFill>
              <a:effectLst/>
              <a:latin typeface="+mn-lt"/>
              <a:ea typeface="+mn-ea"/>
              <a:cs typeface="+mn-cs"/>
            </a:rPr>
            <a:t> - x¯) (y</a:t>
          </a:r>
          <a:r>
            <a:rPr lang="en-US" sz="1100" baseline="-25000">
              <a:solidFill>
                <a:schemeClr val="tx1"/>
              </a:solidFill>
              <a:effectLst/>
              <a:latin typeface="+mn-lt"/>
              <a:ea typeface="+mn-ea"/>
              <a:cs typeface="+mn-cs"/>
            </a:rPr>
            <a:t>i</a:t>
          </a:r>
          <a:r>
            <a:rPr lang="en-US" sz="1100">
              <a:solidFill>
                <a:schemeClr val="tx1"/>
              </a:solidFill>
              <a:effectLst/>
              <a:latin typeface="+mn-lt"/>
              <a:ea typeface="+mn-ea"/>
              <a:cs typeface="+mn-cs"/>
            </a:rPr>
            <a:t> - y¯) ] / [∑ (x</a:t>
          </a:r>
          <a:r>
            <a:rPr lang="en-US" sz="1100" baseline="-25000">
              <a:solidFill>
                <a:schemeClr val="tx1"/>
              </a:solidFill>
              <a:effectLst/>
              <a:latin typeface="+mn-lt"/>
              <a:ea typeface="+mn-ea"/>
              <a:cs typeface="+mn-cs"/>
            </a:rPr>
            <a:t>i</a:t>
          </a:r>
          <a:r>
            <a:rPr lang="en-US" sz="1100">
              <a:solidFill>
                <a:schemeClr val="tx1"/>
              </a:solidFill>
              <a:effectLst/>
              <a:latin typeface="+mn-lt"/>
              <a:ea typeface="+mn-ea"/>
              <a:cs typeface="+mn-cs"/>
            </a:rPr>
            <a:t> - x¯) </a:t>
          </a:r>
          <a:r>
            <a:rPr lang="en-US" sz="1100" baseline="30000">
              <a:solidFill>
                <a:schemeClr val="tx1"/>
              </a:solidFill>
              <a:effectLst/>
              <a:latin typeface="+mn-lt"/>
              <a:ea typeface="+mn-ea"/>
              <a:cs typeface="+mn-cs"/>
            </a:rPr>
            <a:t>2</a:t>
          </a:r>
          <a:r>
            <a:rPr lang="en-US" sz="1100">
              <a:solidFill>
                <a:schemeClr val="tx1"/>
              </a:solidFill>
              <a:effectLst/>
              <a:latin typeface="+mn-lt"/>
              <a:ea typeface="+mn-ea"/>
              <a:cs typeface="+mn-cs"/>
            </a:rPr>
            <a:t>]</a:t>
          </a:r>
          <a:endParaRPr lang="en-IN">
            <a:effectLst/>
          </a:endParaRPr>
        </a:p>
        <a:p>
          <a:r>
            <a:rPr lang="en-US" sz="1100">
              <a:solidFill>
                <a:schemeClr val="tx1"/>
              </a:solidFill>
              <a:effectLst/>
              <a:latin typeface="+mn-lt"/>
              <a:ea typeface="+mn-ea"/>
              <a:cs typeface="+mn-cs"/>
            </a:rPr>
            <a:t>b</a:t>
          </a:r>
          <a:r>
            <a:rPr lang="en-US" sz="1100" baseline="-25000">
              <a:solidFill>
                <a:schemeClr val="tx1"/>
              </a:solidFill>
              <a:effectLst/>
              <a:latin typeface="+mn-lt"/>
              <a:ea typeface="+mn-ea"/>
              <a:cs typeface="+mn-cs"/>
            </a:rPr>
            <a:t>0 </a:t>
          </a:r>
          <a:r>
            <a:rPr lang="en-US" sz="1100">
              <a:solidFill>
                <a:schemeClr val="tx1"/>
              </a:solidFill>
              <a:effectLst/>
              <a:latin typeface="+mn-lt"/>
              <a:ea typeface="+mn-ea"/>
              <a:cs typeface="+mn-cs"/>
            </a:rPr>
            <a:t>=  y¯ - b</a:t>
          </a:r>
          <a:r>
            <a:rPr lang="en-US" sz="1100" baseline="-25000">
              <a:solidFill>
                <a:schemeClr val="tx1"/>
              </a:solidFill>
              <a:effectLst/>
              <a:latin typeface="+mn-lt"/>
              <a:ea typeface="+mn-ea"/>
              <a:cs typeface="+mn-cs"/>
            </a:rPr>
            <a:t>1 </a:t>
          </a:r>
          <a:r>
            <a:rPr lang="en-US" sz="1100">
              <a:solidFill>
                <a:schemeClr val="tx1"/>
              </a:solidFill>
              <a:effectLst/>
              <a:latin typeface="+mn-lt"/>
              <a:ea typeface="+mn-ea"/>
              <a:cs typeface="+mn-cs"/>
            </a:rPr>
            <a:t>x¯</a:t>
          </a:r>
          <a:endParaRPr lang="en-IN" sz="1100"/>
        </a:p>
      </xdr:txBody>
    </xdr:sp>
    <xdr:clientData/>
  </xdr:oneCellAnchor>
  <xdr:oneCellAnchor>
    <xdr:from>
      <xdr:col>4</xdr:col>
      <xdr:colOff>800100</xdr:colOff>
      <xdr:row>18</xdr:row>
      <xdr:rowOff>104775</xdr:rowOff>
    </xdr:from>
    <xdr:ext cx="1417568" cy="264560"/>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4476750" y="3914775"/>
          <a:ext cx="1417568" cy="264560"/>
        </a:xfrm>
        <a:prstGeom prst="rect">
          <a:avLst/>
        </a:prstGeom>
        <a:solidFill>
          <a:schemeClr val="accent2">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cy-GB" sz="1100">
              <a:solidFill>
                <a:schemeClr val="tx1"/>
              </a:solidFill>
              <a:effectLst/>
              <a:latin typeface="+mn-lt"/>
              <a:ea typeface="+mn-ea"/>
              <a:cs typeface="+mn-cs"/>
            </a:rPr>
            <a:t>=&gt; ŷ = (0.142) x – (28)</a:t>
          </a:r>
          <a:endParaRPr lang="en-IN" sz="1100">
            <a:effectLst/>
          </a:endParaRPr>
        </a:p>
      </xdr:txBody>
    </xdr:sp>
    <xdr:clientData/>
  </xdr:oneCellAnchor>
  <xdr:oneCellAnchor>
    <xdr:from>
      <xdr:col>4</xdr:col>
      <xdr:colOff>685800</xdr:colOff>
      <xdr:row>20</xdr:row>
      <xdr:rowOff>0</xdr:rowOff>
    </xdr:from>
    <xdr:ext cx="4867166" cy="436786"/>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4362450" y="4191000"/>
          <a:ext cx="4867166"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rtl="0" eaLnBrk="0" fontAlgn="base" latinLnBrk="0" hangingPunct="0">
            <a:lnSpc>
              <a:spcPct val="100000"/>
            </a:lnSpc>
            <a:spcBef>
              <a:spcPts val="0"/>
            </a:spcBef>
            <a:spcAft>
              <a:spcPts val="0"/>
            </a:spcAft>
            <a:buClrTx/>
            <a:buSzTx/>
            <a:buFontTx/>
            <a:buNone/>
            <a:tabLst/>
            <a:defRPr/>
          </a:pPr>
          <a:r>
            <a:rPr lang="cy-GB" sz="1100">
              <a:solidFill>
                <a:schemeClr val="tx1"/>
              </a:solidFill>
              <a:effectLst/>
              <a:latin typeface="+mn-lt"/>
              <a:ea typeface="+mn-ea"/>
              <a:cs typeface="+mn-cs"/>
            </a:rPr>
            <a:t>For every </a:t>
          </a:r>
          <a:r>
            <a:rPr lang="en-US" sz="1100">
              <a:solidFill>
                <a:schemeClr val="tx1"/>
              </a:solidFill>
              <a:effectLst/>
              <a:latin typeface="+mn-lt"/>
              <a:ea typeface="+mn-ea"/>
              <a:cs typeface="+mn-cs"/>
            </a:rPr>
            <a:t>₹ 1 increase in monthly salary, the reward amount</a:t>
          </a:r>
          <a:r>
            <a:rPr lang="cy-GB" sz="1100">
              <a:solidFill>
                <a:schemeClr val="tx1"/>
              </a:solidFill>
              <a:effectLst/>
              <a:latin typeface="+mn-lt"/>
              <a:ea typeface="+mn-ea"/>
              <a:cs typeface="+mn-cs"/>
            </a:rPr>
            <a:t> increases by </a:t>
          </a:r>
          <a:r>
            <a:rPr lang="en-US" sz="1100">
              <a:solidFill>
                <a:schemeClr val="tx1"/>
              </a:solidFill>
              <a:effectLst/>
              <a:latin typeface="+mn-lt"/>
              <a:ea typeface="+mn-ea"/>
              <a:cs typeface="+mn-cs"/>
            </a:rPr>
            <a:t>₹ 0.142.</a:t>
          </a:r>
          <a:endParaRPr lang="en-IN">
            <a:effectLst/>
          </a:endParaRPr>
        </a:p>
        <a:p>
          <a:pPr marL="0" marR="0" lvl="0" indent="0" defTabSz="914400" rtl="0" eaLnBrk="0" fontAlgn="base" latinLnBrk="0" hangingPunct="0">
            <a:lnSpc>
              <a:spcPct val="100000"/>
            </a:lnSpc>
            <a:spcBef>
              <a:spcPts val="0"/>
            </a:spcBef>
            <a:spcAft>
              <a:spcPts val="0"/>
            </a:spcAft>
            <a:buClrTx/>
            <a:buSzTx/>
            <a:buFontTx/>
            <a:buNone/>
            <a:tabLst/>
            <a:defRPr/>
          </a:pPr>
          <a:r>
            <a:rPr lang="en-US" sz="1100">
              <a:solidFill>
                <a:schemeClr val="tx1"/>
              </a:solidFill>
              <a:effectLst/>
              <a:latin typeface="+mn-lt"/>
              <a:ea typeface="+mn-ea"/>
              <a:cs typeface="+mn-cs"/>
            </a:rPr>
            <a:t>If the monthly salary is zero, the reward amount is - 28</a:t>
          </a:r>
          <a:endParaRPr lang="en-IN">
            <a:effectLst/>
          </a:endParaRPr>
        </a:p>
      </xdr:txBody>
    </xdr:sp>
    <xdr:clientData/>
  </xdr:oneCellAnchor>
  <xdr:twoCellAnchor editAs="oneCell">
    <xdr:from>
      <xdr:col>8</xdr:col>
      <xdr:colOff>1014130</xdr:colOff>
      <xdr:row>21</xdr:row>
      <xdr:rowOff>118781</xdr:rowOff>
    </xdr:from>
    <xdr:to>
      <xdr:col>14</xdr:col>
      <xdr:colOff>101412</xdr:colOff>
      <xdr:row>37</xdr:row>
      <xdr:rowOff>53788</xdr:rowOff>
    </xdr:to>
    <xdr:pic>
      <xdr:nvPicPr>
        <xdr:cNvPr id="9" name="Picture 8">
          <a:extLst>
            <a:ext uri="{FF2B5EF4-FFF2-40B4-BE49-F238E27FC236}">
              <a16:creationId xmlns:a16="http://schemas.microsoft.com/office/drawing/2014/main" id="{00000000-0008-0000-01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83001" y="3910852"/>
          <a:ext cx="5201211" cy="28037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1</xdr:col>
      <xdr:colOff>818029</xdr:colOff>
      <xdr:row>25</xdr:row>
      <xdr:rowOff>56029</xdr:rowOff>
    </xdr:from>
    <xdr:ext cx="4763099" cy="264560"/>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479176" y="4840941"/>
          <a:ext cx="476309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100" b="1">
              <a:solidFill>
                <a:schemeClr val="tx1"/>
              </a:solidFill>
              <a:effectLst/>
              <a:latin typeface="+mn-lt"/>
              <a:ea typeface="+mn-ea"/>
              <a:cs typeface="+mn-cs"/>
            </a:rPr>
            <a:t>Sum of Squares (Total) = Sum of Squares (Regression) + Sum of Squares (Error)</a:t>
          </a:r>
          <a:endParaRPr lang="en-IN">
            <a:effectLst/>
          </a:endParaRPr>
        </a:p>
      </xdr:txBody>
    </xdr:sp>
    <xdr:clientData/>
  </xdr:oneCellAnchor>
  <xdr:oneCellAnchor>
    <xdr:from>
      <xdr:col>2</xdr:col>
      <xdr:colOff>280147</xdr:colOff>
      <xdr:row>30</xdr:row>
      <xdr:rowOff>145676</xdr:rowOff>
    </xdr:from>
    <xdr:ext cx="2932726" cy="280205"/>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1956547" y="5551394"/>
          <a:ext cx="2932726" cy="280205"/>
        </a:xfrm>
        <a:prstGeom prst="rect">
          <a:avLst/>
        </a:prstGeom>
        <a:solidFill>
          <a:schemeClr val="accent2">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200">
              <a:solidFill>
                <a:schemeClr val="tx1"/>
              </a:solidFill>
              <a:effectLst/>
              <a:latin typeface="+mn-lt"/>
              <a:ea typeface="+mn-ea"/>
              <a:cs typeface="+mn-cs"/>
            </a:rPr>
            <a:t>Coefficient of Determination = r</a:t>
          </a:r>
          <a:r>
            <a:rPr lang="en-US" sz="1200" baseline="30000">
              <a:solidFill>
                <a:schemeClr val="tx1"/>
              </a:solidFill>
              <a:effectLst/>
              <a:latin typeface="+mn-lt"/>
              <a:ea typeface="+mn-ea"/>
              <a:cs typeface="+mn-cs"/>
            </a:rPr>
            <a:t>2 </a:t>
          </a:r>
          <a:r>
            <a:rPr lang="en-US" sz="1200">
              <a:solidFill>
                <a:schemeClr val="tx1"/>
              </a:solidFill>
              <a:effectLst/>
              <a:latin typeface="+mn-lt"/>
              <a:ea typeface="+mn-ea"/>
              <a:cs typeface="+mn-cs"/>
            </a:rPr>
            <a:t>= SSR / SST</a:t>
          </a:r>
          <a:endParaRPr lang="en-IN" sz="1200">
            <a:effectLst/>
          </a:endParaRPr>
        </a:p>
      </xdr:txBody>
    </xdr:sp>
    <xdr:clientData/>
  </xdr:oneCellAnchor>
  <xdr:oneCellAnchor>
    <xdr:from>
      <xdr:col>2</xdr:col>
      <xdr:colOff>336176</xdr:colOff>
      <xdr:row>36</xdr:row>
      <xdr:rowOff>123264</xdr:rowOff>
    </xdr:from>
    <xdr:ext cx="5777736" cy="436786"/>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1961029" y="7003676"/>
          <a:ext cx="5777736"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100">
              <a:solidFill>
                <a:schemeClr val="tx1"/>
              </a:solidFill>
              <a:effectLst/>
              <a:latin typeface="+mn-lt"/>
              <a:ea typeface="+mn-ea"/>
              <a:cs typeface="+mn-cs"/>
            </a:rPr>
            <a:t>The regression equation can explain 72.9% of the total sum of squares, the remaining is the error.</a:t>
          </a:r>
        </a:p>
        <a:p>
          <a:pPr marL="0" marR="0" lvl="0" indent="0" defTabSz="914400" rtl="0" eaLnBrk="1" fontAlgn="auto" latinLnBrk="0" hangingPunct="1">
            <a:lnSpc>
              <a:spcPct val="100000"/>
            </a:lnSpc>
            <a:spcBef>
              <a:spcPts val="0"/>
            </a:spcBef>
            <a:spcAft>
              <a:spcPts val="0"/>
            </a:spcAft>
            <a:buClrTx/>
            <a:buSzTx/>
            <a:buFontTx/>
            <a:buNone/>
            <a:tabLst/>
            <a:defRPr/>
          </a:pPr>
          <a:r>
            <a:rPr lang="en-US" sz="1100" b="1">
              <a:solidFill>
                <a:schemeClr val="tx1"/>
              </a:solidFill>
              <a:effectLst/>
              <a:latin typeface="+mn-lt"/>
              <a:ea typeface="+mn-ea"/>
              <a:cs typeface="+mn-cs"/>
            </a:rPr>
            <a:t>We would ideally want SSE to be low and r</a:t>
          </a:r>
          <a:r>
            <a:rPr lang="en-US" sz="1100" b="1" baseline="30000">
              <a:solidFill>
                <a:schemeClr val="tx1"/>
              </a:solidFill>
              <a:effectLst/>
              <a:latin typeface="+mn-lt"/>
              <a:ea typeface="+mn-ea"/>
              <a:cs typeface="+mn-cs"/>
            </a:rPr>
            <a:t>2</a:t>
          </a:r>
          <a:r>
            <a:rPr lang="en-US" sz="1100" b="1">
              <a:solidFill>
                <a:schemeClr val="tx1"/>
              </a:solidFill>
              <a:effectLst/>
              <a:latin typeface="+mn-lt"/>
              <a:ea typeface="+mn-ea"/>
              <a:cs typeface="+mn-cs"/>
            </a:rPr>
            <a:t> to be a larger percentage.</a:t>
          </a:r>
          <a:endParaRPr lang="en-IN">
            <a:effectLst/>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xdr:col>
      <xdr:colOff>274320</xdr:colOff>
      <xdr:row>15</xdr:row>
      <xdr:rowOff>152400</xdr:rowOff>
    </xdr:from>
    <xdr:ext cx="1032655" cy="264560"/>
    <xdr:sp macro="" textlink="">
      <xdr:nvSpPr>
        <xdr:cNvPr id="2" name="TextBox 1">
          <a:extLst>
            <a:ext uri="{FF2B5EF4-FFF2-40B4-BE49-F238E27FC236}">
              <a16:creationId xmlns:a16="http://schemas.microsoft.com/office/drawing/2014/main" id="{B64E88AE-046C-48E3-B11B-F6E08B3C22C8}"/>
            </a:ext>
          </a:extLst>
        </xdr:cNvPr>
        <xdr:cNvSpPr txBox="1"/>
      </xdr:nvSpPr>
      <xdr:spPr>
        <a:xfrm>
          <a:off x="670560" y="2895600"/>
          <a:ext cx="10326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cy-GB" sz="1100" b="1">
              <a:solidFill>
                <a:schemeClr val="tx1"/>
              </a:solidFill>
              <a:effectLst/>
              <a:latin typeface="+mn-lt"/>
              <a:ea typeface="+mn-ea"/>
              <a:cs typeface="+mn-cs"/>
            </a:rPr>
            <a:t>ŷ =</a:t>
          </a:r>
          <a:r>
            <a:rPr lang="cy-GB" sz="1100">
              <a:solidFill>
                <a:schemeClr val="tx1"/>
              </a:solidFill>
              <a:effectLst/>
              <a:latin typeface="+mn-lt"/>
              <a:ea typeface="+mn-ea"/>
              <a:cs typeface="+mn-cs"/>
            </a:rPr>
            <a:t> </a:t>
          </a:r>
          <a:r>
            <a:rPr lang="en-US" sz="1100" b="1">
              <a:solidFill>
                <a:schemeClr val="tx1"/>
              </a:solidFill>
              <a:effectLst/>
              <a:latin typeface="+mn-lt"/>
              <a:ea typeface="+mn-ea"/>
              <a:cs typeface="+mn-cs"/>
            </a:rPr>
            <a:t>b</a:t>
          </a:r>
          <a:r>
            <a:rPr lang="en-US" sz="1100" b="1" baseline="-25000">
              <a:solidFill>
                <a:schemeClr val="tx1"/>
              </a:solidFill>
              <a:effectLst/>
              <a:latin typeface="+mn-lt"/>
              <a:ea typeface="+mn-ea"/>
              <a:cs typeface="+mn-cs"/>
            </a:rPr>
            <a:t>o</a:t>
          </a:r>
          <a:r>
            <a:rPr lang="en-US" sz="1100" b="1">
              <a:solidFill>
                <a:schemeClr val="tx1"/>
              </a:solidFill>
              <a:effectLst/>
              <a:latin typeface="+mn-lt"/>
              <a:ea typeface="+mn-ea"/>
              <a:cs typeface="+mn-cs"/>
            </a:rPr>
            <a:t> + b</a:t>
          </a:r>
          <a:r>
            <a:rPr lang="en-US" sz="1100" b="1" baseline="-25000">
              <a:solidFill>
                <a:schemeClr val="tx1"/>
              </a:solidFill>
              <a:effectLst/>
              <a:latin typeface="+mn-lt"/>
              <a:ea typeface="+mn-ea"/>
              <a:cs typeface="+mn-cs"/>
            </a:rPr>
            <a:t>1</a:t>
          </a:r>
          <a:r>
            <a:rPr lang="en-US" sz="1100" b="1">
              <a:solidFill>
                <a:schemeClr val="tx1"/>
              </a:solidFill>
              <a:effectLst/>
              <a:latin typeface="+mn-lt"/>
              <a:ea typeface="+mn-ea"/>
              <a:cs typeface="+mn-cs"/>
            </a:rPr>
            <a:t>x + </a:t>
          </a:r>
          <a:r>
            <a:rPr lang="el-GR" sz="1100" b="1">
              <a:solidFill>
                <a:schemeClr val="tx1"/>
              </a:solidFill>
              <a:effectLst/>
              <a:latin typeface="+mn-lt"/>
              <a:ea typeface="+mn-ea"/>
              <a:cs typeface="+mn-cs"/>
            </a:rPr>
            <a:t>ε</a:t>
          </a:r>
          <a:endParaRPr lang="en-IN" sz="1100"/>
        </a:p>
      </xdr:txBody>
    </xdr:sp>
    <xdr:clientData/>
  </xdr:oneCellAnchor>
  <xdr:oneCellAnchor>
    <xdr:from>
      <xdr:col>1</xdr:col>
      <xdr:colOff>236220</xdr:colOff>
      <xdr:row>17</xdr:row>
      <xdr:rowOff>61184</xdr:rowOff>
    </xdr:from>
    <xdr:ext cx="2262158" cy="436786"/>
    <xdr:sp macro="" textlink="">
      <xdr:nvSpPr>
        <xdr:cNvPr id="3" name="TextBox 2">
          <a:extLst>
            <a:ext uri="{FF2B5EF4-FFF2-40B4-BE49-F238E27FC236}">
              <a16:creationId xmlns:a16="http://schemas.microsoft.com/office/drawing/2014/main" id="{F447B79B-4314-4487-AD98-B346A51D1BAA}"/>
            </a:ext>
          </a:extLst>
        </xdr:cNvPr>
        <xdr:cNvSpPr txBox="1"/>
      </xdr:nvSpPr>
      <xdr:spPr>
        <a:xfrm>
          <a:off x="632460" y="3170144"/>
          <a:ext cx="2262158"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100">
              <a:solidFill>
                <a:schemeClr val="tx1"/>
              </a:solidFill>
              <a:effectLst/>
              <a:latin typeface="+mn-lt"/>
              <a:ea typeface="+mn-ea"/>
              <a:cs typeface="+mn-cs"/>
            </a:rPr>
            <a:t>b</a:t>
          </a:r>
          <a:r>
            <a:rPr lang="en-US" sz="1100" baseline="-25000">
              <a:solidFill>
                <a:schemeClr val="tx1"/>
              </a:solidFill>
              <a:effectLst/>
              <a:latin typeface="+mn-lt"/>
              <a:ea typeface="+mn-ea"/>
              <a:cs typeface="+mn-cs"/>
            </a:rPr>
            <a:t>1 </a:t>
          </a:r>
          <a:r>
            <a:rPr lang="en-US" sz="1100">
              <a:solidFill>
                <a:schemeClr val="tx1"/>
              </a:solidFill>
              <a:effectLst/>
              <a:latin typeface="+mn-lt"/>
              <a:ea typeface="+mn-ea"/>
              <a:cs typeface="+mn-cs"/>
            </a:rPr>
            <a:t>= [∑ (x</a:t>
          </a:r>
          <a:r>
            <a:rPr lang="en-US" sz="1100" baseline="-25000">
              <a:solidFill>
                <a:schemeClr val="tx1"/>
              </a:solidFill>
              <a:effectLst/>
              <a:latin typeface="+mn-lt"/>
              <a:ea typeface="+mn-ea"/>
              <a:cs typeface="+mn-cs"/>
            </a:rPr>
            <a:t>i</a:t>
          </a:r>
          <a:r>
            <a:rPr lang="en-US" sz="1100">
              <a:solidFill>
                <a:schemeClr val="tx1"/>
              </a:solidFill>
              <a:effectLst/>
              <a:latin typeface="+mn-lt"/>
              <a:ea typeface="+mn-ea"/>
              <a:cs typeface="+mn-cs"/>
            </a:rPr>
            <a:t> - x¯) (y</a:t>
          </a:r>
          <a:r>
            <a:rPr lang="en-US" sz="1100" baseline="-25000">
              <a:solidFill>
                <a:schemeClr val="tx1"/>
              </a:solidFill>
              <a:effectLst/>
              <a:latin typeface="+mn-lt"/>
              <a:ea typeface="+mn-ea"/>
              <a:cs typeface="+mn-cs"/>
            </a:rPr>
            <a:t>i</a:t>
          </a:r>
          <a:r>
            <a:rPr lang="en-US" sz="1100">
              <a:solidFill>
                <a:schemeClr val="tx1"/>
              </a:solidFill>
              <a:effectLst/>
              <a:latin typeface="+mn-lt"/>
              <a:ea typeface="+mn-ea"/>
              <a:cs typeface="+mn-cs"/>
            </a:rPr>
            <a:t> - y¯) ] / [∑ (x</a:t>
          </a:r>
          <a:r>
            <a:rPr lang="en-US" sz="1100" baseline="-25000">
              <a:solidFill>
                <a:schemeClr val="tx1"/>
              </a:solidFill>
              <a:effectLst/>
              <a:latin typeface="+mn-lt"/>
              <a:ea typeface="+mn-ea"/>
              <a:cs typeface="+mn-cs"/>
            </a:rPr>
            <a:t>i</a:t>
          </a:r>
          <a:r>
            <a:rPr lang="en-US" sz="1100">
              <a:solidFill>
                <a:schemeClr val="tx1"/>
              </a:solidFill>
              <a:effectLst/>
              <a:latin typeface="+mn-lt"/>
              <a:ea typeface="+mn-ea"/>
              <a:cs typeface="+mn-cs"/>
            </a:rPr>
            <a:t> - x¯) </a:t>
          </a:r>
          <a:r>
            <a:rPr lang="en-US" sz="1100" baseline="30000">
              <a:solidFill>
                <a:schemeClr val="tx1"/>
              </a:solidFill>
              <a:effectLst/>
              <a:latin typeface="+mn-lt"/>
              <a:ea typeface="+mn-ea"/>
              <a:cs typeface="+mn-cs"/>
            </a:rPr>
            <a:t>2</a:t>
          </a:r>
          <a:r>
            <a:rPr lang="en-US" sz="1100">
              <a:solidFill>
                <a:schemeClr val="tx1"/>
              </a:solidFill>
              <a:effectLst/>
              <a:latin typeface="+mn-lt"/>
              <a:ea typeface="+mn-ea"/>
              <a:cs typeface="+mn-cs"/>
            </a:rPr>
            <a:t>]</a:t>
          </a:r>
          <a:endParaRPr lang="en-IN">
            <a:effectLst/>
          </a:endParaRPr>
        </a:p>
        <a:p>
          <a:r>
            <a:rPr lang="en-US" sz="1100">
              <a:solidFill>
                <a:schemeClr val="tx1"/>
              </a:solidFill>
              <a:effectLst/>
              <a:latin typeface="+mn-lt"/>
              <a:ea typeface="+mn-ea"/>
              <a:cs typeface="+mn-cs"/>
            </a:rPr>
            <a:t>b</a:t>
          </a:r>
          <a:r>
            <a:rPr lang="en-US" sz="1100" baseline="-25000">
              <a:solidFill>
                <a:schemeClr val="tx1"/>
              </a:solidFill>
              <a:effectLst/>
              <a:latin typeface="+mn-lt"/>
              <a:ea typeface="+mn-ea"/>
              <a:cs typeface="+mn-cs"/>
            </a:rPr>
            <a:t>0 </a:t>
          </a:r>
          <a:r>
            <a:rPr lang="en-US" sz="1100">
              <a:solidFill>
                <a:schemeClr val="tx1"/>
              </a:solidFill>
              <a:effectLst/>
              <a:latin typeface="+mn-lt"/>
              <a:ea typeface="+mn-ea"/>
              <a:cs typeface="+mn-cs"/>
            </a:rPr>
            <a:t>=  y¯ - b</a:t>
          </a:r>
          <a:r>
            <a:rPr lang="en-US" sz="1100" baseline="-25000">
              <a:solidFill>
                <a:schemeClr val="tx1"/>
              </a:solidFill>
              <a:effectLst/>
              <a:latin typeface="+mn-lt"/>
              <a:ea typeface="+mn-ea"/>
              <a:cs typeface="+mn-cs"/>
            </a:rPr>
            <a:t>1 </a:t>
          </a:r>
          <a:r>
            <a:rPr lang="en-US" sz="1100">
              <a:solidFill>
                <a:schemeClr val="tx1"/>
              </a:solidFill>
              <a:effectLst/>
              <a:latin typeface="+mn-lt"/>
              <a:ea typeface="+mn-ea"/>
              <a:cs typeface="+mn-cs"/>
            </a:rPr>
            <a:t>x¯</a:t>
          </a:r>
          <a:endParaRPr lang="en-IN" sz="1100"/>
        </a:p>
      </xdr:txBody>
    </xdr:sp>
    <xdr:clientData/>
  </xdr:oneCellAnchor>
  <xdr:oneCellAnchor>
    <xdr:from>
      <xdr:col>5</xdr:col>
      <xdr:colOff>0</xdr:colOff>
      <xdr:row>19</xdr:row>
      <xdr:rowOff>0</xdr:rowOff>
    </xdr:from>
    <xdr:ext cx="1568058" cy="264560"/>
    <xdr:sp macro="" textlink="">
      <xdr:nvSpPr>
        <xdr:cNvPr id="4" name="TextBox 3">
          <a:extLst>
            <a:ext uri="{FF2B5EF4-FFF2-40B4-BE49-F238E27FC236}">
              <a16:creationId xmlns:a16="http://schemas.microsoft.com/office/drawing/2014/main" id="{0D98649E-DDEB-4107-A812-7D654759F450}"/>
            </a:ext>
          </a:extLst>
        </xdr:cNvPr>
        <xdr:cNvSpPr txBox="1"/>
      </xdr:nvSpPr>
      <xdr:spPr>
        <a:xfrm>
          <a:off x="2712720" y="3474720"/>
          <a:ext cx="1568058" cy="264560"/>
        </a:xfrm>
        <a:prstGeom prst="rect">
          <a:avLst/>
        </a:prstGeom>
        <a:solidFill>
          <a:schemeClr val="accent2">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cy-GB" sz="1100">
              <a:solidFill>
                <a:schemeClr val="tx1"/>
              </a:solidFill>
              <a:effectLst/>
              <a:latin typeface="+mn-lt"/>
              <a:ea typeface="+mn-ea"/>
              <a:cs typeface="+mn-cs"/>
            </a:rPr>
            <a:t>=&gt; ŷ = 34.583 x + 307.92</a:t>
          </a:r>
          <a:endParaRPr lang="en-IN" sz="1100">
            <a:effectLst/>
          </a:endParaRPr>
        </a:p>
      </xdr:txBody>
    </xdr:sp>
    <xdr:clientData/>
  </xdr:oneCellAnchor>
  <xdr:oneCellAnchor>
    <xdr:from>
      <xdr:col>12</xdr:col>
      <xdr:colOff>251460</xdr:colOff>
      <xdr:row>1</xdr:row>
      <xdr:rowOff>144780</xdr:rowOff>
    </xdr:from>
    <xdr:ext cx="6309359" cy="5352234"/>
    <xdr:sp macro="" textlink="">
      <xdr:nvSpPr>
        <xdr:cNvPr id="5" name="TextBox 4">
          <a:extLst>
            <a:ext uri="{FF2B5EF4-FFF2-40B4-BE49-F238E27FC236}">
              <a16:creationId xmlns:a16="http://schemas.microsoft.com/office/drawing/2014/main" id="{D7163800-43E0-4629-9955-5135F9F9E019}"/>
            </a:ext>
          </a:extLst>
        </xdr:cNvPr>
        <xdr:cNvSpPr txBox="1"/>
      </xdr:nvSpPr>
      <xdr:spPr>
        <a:xfrm>
          <a:off x="7170420" y="327660"/>
          <a:ext cx="6309359" cy="5352234"/>
        </a:xfrm>
        <a:prstGeom prst="rect">
          <a:avLst/>
        </a:prstGeom>
        <a:solidFill>
          <a:schemeClr val="tx2">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400" b="1">
              <a:solidFill>
                <a:schemeClr val="tx1"/>
              </a:solidFill>
              <a:effectLst/>
              <a:latin typeface="+mn-lt"/>
              <a:ea typeface="+mn-ea"/>
              <a:cs typeface="+mn-cs"/>
            </a:rPr>
            <a:t>Context: </a:t>
          </a:r>
        </a:p>
        <a:p>
          <a:r>
            <a:rPr lang="en-IN" sz="1400" b="1">
              <a:solidFill>
                <a:schemeClr val="tx1"/>
              </a:solidFill>
              <a:effectLst/>
              <a:latin typeface="+mn-lt"/>
              <a:ea typeface="+mn-ea"/>
              <a:cs typeface="+mn-cs"/>
            </a:rPr>
            <a:t>A marketer is interested in the effect of changing shelf height (x1) and shelf width (x2) on the weekly sales (y) of her brand of laundry detergent in a grocery store.</a:t>
          </a:r>
          <a:endParaRPr lang="en-IN" sz="1400">
            <a:solidFill>
              <a:schemeClr val="tx1"/>
            </a:solidFill>
            <a:effectLst/>
            <a:latin typeface="+mn-lt"/>
            <a:ea typeface="+mn-ea"/>
            <a:cs typeface="+mn-cs"/>
          </a:endParaRPr>
        </a:p>
        <a:p>
          <a:endParaRPr lang="en-IN" sz="1400"/>
        </a:p>
        <a:p>
          <a:r>
            <a:rPr lang="en-IN" sz="1400" b="1">
              <a:solidFill>
                <a:schemeClr val="tx1"/>
              </a:solidFill>
              <a:effectLst/>
              <a:latin typeface="+mn-lt"/>
              <a:ea typeface="+mn-ea"/>
              <a:cs typeface="+mn-cs"/>
            </a:rPr>
            <a:t>Objective:</a:t>
          </a:r>
        </a:p>
        <a:p>
          <a:r>
            <a:rPr lang="en-IN" sz="1400">
              <a:solidFill>
                <a:schemeClr val="tx1"/>
              </a:solidFill>
              <a:effectLst/>
              <a:latin typeface="+mn-lt"/>
              <a:ea typeface="+mn-ea"/>
              <a:cs typeface="+mn-cs"/>
            </a:rPr>
            <a:t>We have at least one variable that is known (in some cases it is controllable), and a response variable that is a random variable. We would like to fit a model that relates the response to the known or controllable variable(s).</a:t>
          </a:r>
        </a:p>
        <a:p>
          <a:endParaRPr lang="en-IN" sz="1400">
            <a:solidFill>
              <a:schemeClr val="tx1"/>
            </a:solidFill>
            <a:effectLst/>
            <a:latin typeface="+mn-lt"/>
            <a:ea typeface="+mn-ea"/>
            <a:cs typeface="+mn-cs"/>
          </a:endParaRPr>
        </a:p>
        <a:p>
          <a:r>
            <a:rPr lang="en-IN" sz="1400">
              <a:solidFill>
                <a:schemeClr val="tx1"/>
              </a:solidFill>
              <a:effectLst/>
              <a:latin typeface="+mn-lt"/>
              <a:ea typeface="+mn-ea"/>
              <a:cs typeface="+mn-cs"/>
            </a:rPr>
            <a:t>A marketer is interested in the relation between the width of the shelf space for her brand of coffee (x) and weekly sales (y) of the product in a sub urban supermarket (assume the height is always at eye level). Marketers are well aware of the concept of ‘compulsive purchases’, and know that the more shelf space their product takes up, the higher the frequency of such purchases. She believes that in the range of 3 to 9 feet, the mean weekly sales will be linearly related to the width of the shelf space. Further, among weeks with the same shelf space, she believes that sales will be normally distributed with unknown standard deviation σ (that is, σ measures how variable weekly sales are at a given amount of shelf space). Thus, she would like to fit a model relating weekly sales y to the amount of shelf space x her product receives that week. </a:t>
          </a:r>
        </a:p>
        <a:p>
          <a:r>
            <a:rPr lang="en-IN" sz="1400">
              <a:solidFill>
                <a:schemeClr val="tx1"/>
              </a:solidFill>
              <a:effectLst/>
              <a:latin typeface="+mn-lt"/>
              <a:ea typeface="+mn-ea"/>
              <a:cs typeface="+mn-cs"/>
            </a:rPr>
            <a:t>That is, she is fitting the model:</a:t>
          </a:r>
        </a:p>
        <a:p>
          <a:endParaRPr lang="en-IN" sz="1400" b="1">
            <a:solidFill>
              <a:schemeClr val="tx1"/>
            </a:solidFill>
            <a:effectLst/>
            <a:latin typeface="+mn-lt"/>
            <a:ea typeface="+mn-ea"/>
            <a:cs typeface="+mn-cs"/>
          </a:endParaRPr>
        </a:p>
        <a:p>
          <a:r>
            <a:rPr lang="en-IN" sz="1400" b="1">
              <a:solidFill>
                <a:schemeClr val="tx1"/>
              </a:solidFill>
              <a:effectLst/>
              <a:latin typeface="+mn-lt"/>
              <a:ea typeface="+mn-ea"/>
              <a:cs typeface="+mn-cs"/>
            </a:rPr>
            <a:t>Equation:</a:t>
          </a:r>
          <a:endParaRPr lang="en-IN" sz="1400">
            <a:solidFill>
              <a:schemeClr val="tx1"/>
            </a:solidFill>
            <a:effectLst/>
            <a:latin typeface="+mn-lt"/>
            <a:ea typeface="+mn-ea"/>
            <a:cs typeface="+mn-cs"/>
          </a:endParaRPr>
        </a:p>
        <a:p>
          <a:r>
            <a:rPr lang="en-IN" sz="1400">
              <a:solidFill>
                <a:schemeClr val="tx1"/>
              </a:solidFill>
              <a:effectLst/>
              <a:latin typeface="+mn-lt"/>
              <a:ea typeface="+mn-ea"/>
              <a:cs typeface="+mn-cs"/>
            </a:rPr>
            <a:t>y = β0 + β1x + ε</a:t>
          </a:r>
          <a:endParaRPr lang="en-IN" sz="1400"/>
        </a:p>
      </xdr:txBody>
    </xdr:sp>
    <xdr:clientData/>
  </xdr:oneCellAnchor>
  <xdr:oneCellAnchor>
    <xdr:from>
      <xdr:col>0</xdr:col>
      <xdr:colOff>236221</xdr:colOff>
      <xdr:row>25</xdr:row>
      <xdr:rowOff>38100</xdr:rowOff>
    </xdr:from>
    <xdr:ext cx="6172200" cy="1407308"/>
    <xdr:sp macro="" textlink="">
      <xdr:nvSpPr>
        <xdr:cNvPr id="6" name="TextBox 5">
          <a:extLst>
            <a:ext uri="{FF2B5EF4-FFF2-40B4-BE49-F238E27FC236}">
              <a16:creationId xmlns:a16="http://schemas.microsoft.com/office/drawing/2014/main" id="{6D93C80A-40BB-4D0E-B032-7DBDCD62F219}"/>
            </a:ext>
          </a:extLst>
        </xdr:cNvPr>
        <xdr:cNvSpPr txBox="1"/>
      </xdr:nvSpPr>
      <xdr:spPr>
        <a:xfrm>
          <a:off x="236221" y="4610100"/>
          <a:ext cx="6172200" cy="140730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400">
              <a:solidFill>
                <a:schemeClr val="tx1"/>
              </a:solidFill>
              <a:effectLst/>
              <a:latin typeface="+mn-lt"/>
              <a:ea typeface="+mn-ea"/>
              <a:cs typeface="+mn-cs"/>
            </a:rPr>
            <a:t>So the fitted equation, estimating the mean weekly sales when the product has x feet of shelf space is ˆy = βˆ 0 + βˆ 1x = 307.967 + 34.5833x. Our interpretation for b1 is “the estimate for the increase in mean weekly sales due to increasing shelf space by 1 foot is 34.5833 bags of coffee”. Note that this should only be interpreted within the range of x values that we have observed in the “experiment”, namely x = 3 to 9 feet.</a:t>
          </a:r>
          <a:endParaRPr lang="en-IN" sz="1400"/>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0</xdr:col>
      <xdr:colOff>182880</xdr:colOff>
      <xdr:row>19</xdr:row>
      <xdr:rowOff>0</xdr:rowOff>
    </xdr:from>
    <xdr:ext cx="11871960" cy="2331279"/>
    <xdr:sp macro="" textlink="">
      <xdr:nvSpPr>
        <xdr:cNvPr id="2" name="TextBox 1">
          <a:extLst>
            <a:ext uri="{FF2B5EF4-FFF2-40B4-BE49-F238E27FC236}">
              <a16:creationId xmlns:a16="http://schemas.microsoft.com/office/drawing/2014/main" id="{779C0B80-A9FD-4F05-AB7F-D93E5E326184}"/>
            </a:ext>
          </a:extLst>
        </xdr:cNvPr>
        <xdr:cNvSpPr txBox="1"/>
      </xdr:nvSpPr>
      <xdr:spPr>
        <a:xfrm>
          <a:off x="182880" y="3520440"/>
          <a:ext cx="11871960" cy="23312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fontAlgn="base"/>
          <a:r>
            <a:rPr lang="en-IN" sz="1100" b="1" i="0">
              <a:solidFill>
                <a:schemeClr val="tx1"/>
              </a:solidFill>
              <a:effectLst/>
              <a:latin typeface="+mn-lt"/>
              <a:ea typeface="+mn-ea"/>
              <a:cs typeface="+mn-cs"/>
            </a:rPr>
            <a:t>Multiple R.</a:t>
          </a:r>
          <a:r>
            <a:rPr lang="en-IN" sz="1100" b="0" i="0">
              <a:solidFill>
                <a:schemeClr val="tx1"/>
              </a:solidFill>
              <a:effectLst/>
              <a:latin typeface="+mn-lt"/>
              <a:ea typeface="+mn-ea"/>
              <a:cs typeface="+mn-cs"/>
            </a:rPr>
            <a:t> This is the </a:t>
          </a:r>
          <a:r>
            <a:rPr lang="en-IN" sz="1100" b="0" i="0" u="none" strike="noStrike">
              <a:solidFill>
                <a:schemeClr val="tx1"/>
              </a:solidFill>
              <a:effectLst/>
              <a:latin typeface="+mn-lt"/>
              <a:ea typeface="+mn-ea"/>
              <a:cs typeface="+mn-cs"/>
              <a:hlinkClick xmlns:r="http://schemas.openxmlformats.org/officeDocument/2006/relationships" r:id=""/>
            </a:rPr>
            <a:t>correlation coefficient</a:t>
          </a:r>
          <a:r>
            <a:rPr lang="en-IN" sz="1100" b="0" i="0">
              <a:solidFill>
                <a:schemeClr val="tx1"/>
              </a:solidFill>
              <a:effectLst/>
              <a:latin typeface="+mn-lt"/>
              <a:ea typeface="+mn-ea"/>
              <a:cs typeface="+mn-cs"/>
            </a:rPr>
            <a:t>. It tells you how strong the </a:t>
          </a:r>
          <a:r>
            <a:rPr lang="en-IN" sz="1100" b="0" i="0" u="none" strike="noStrike">
              <a:solidFill>
                <a:schemeClr val="tx1"/>
              </a:solidFill>
              <a:effectLst/>
              <a:latin typeface="+mn-lt"/>
              <a:ea typeface="+mn-ea"/>
              <a:cs typeface="+mn-cs"/>
              <a:hlinkClick xmlns:r="http://schemas.openxmlformats.org/officeDocument/2006/relationships" r:id=""/>
            </a:rPr>
            <a:t>linear relationship</a:t>
          </a:r>
          <a:r>
            <a:rPr lang="en-IN" sz="1100" b="0" i="0">
              <a:solidFill>
                <a:schemeClr val="tx1"/>
              </a:solidFill>
              <a:effectLst/>
              <a:latin typeface="+mn-lt"/>
              <a:ea typeface="+mn-ea"/>
              <a:cs typeface="+mn-cs"/>
            </a:rPr>
            <a:t> is. For example, a value of 1 means a perfect positive relationship and a value of zero means no relationship at all. It is the square root of</a:t>
          </a:r>
          <a:r>
            <a:rPr lang="en-IN" sz="1100" b="0" i="0" u="none" strike="noStrike">
              <a:solidFill>
                <a:schemeClr val="tx1"/>
              </a:solidFill>
              <a:effectLst/>
              <a:latin typeface="+mn-lt"/>
              <a:ea typeface="+mn-ea"/>
              <a:cs typeface="+mn-cs"/>
              <a:hlinkClick xmlns:r="http://schemas.openxmlformats.org/officeDocument/2006/relationships" r:id=""/>
            </a:rPr>
            <a:t> r squared</a:t>
          </a:r>
          <a:r>
            <a:rPr lang="en-IN" sz="1100" b="0" i="0">
              <a:solidFill>
                <a:schemeClr val="tx1"/>
              </a:solidFill>
              <a:effectLst/>
              <a:latin typeface="+mn-lt"/>
              <a:ea typeface="+mn-ea"/>
              <a:cs typeface="+mn-cs"/>
            </a:rPr>
            <a:t> .</a:t>
          </a:r>
        </a:p>
        <a:p>
          <a:pPr fontAlgn="base"/>
          <a:endParaRPr lang="en-IN" sz="1100" b="0" i="0">
            <a:solidFill>
              <a:schemeClr val="tx1"/>
            </a:solidFill>
            <a:effectLst/>
            <a:latin typeface="+mn-lt"/>
            <a:ea typeface="+mn-ea"/>
            <a:cs typeface="+mn-cs"/>
          </a:endParaRPr>
        </a:p>
        <a:p>
          <a:pPr fontAlgn="base"/>
          <a:r>
            <a:rPr lang="en-IN" sz="1100" b="1" i="0">
              <a:solidFill>
                <a:schemeClr val="tx1"/>
              </a:solidFill>
              <a:effectLst/>
              <a:latin typeface="+mn-lt"/>
              <a:ea typeface="+mn-ea"/>
              <a:cs typeface="+mn-cs"/>
            </a:rPr>
            <a:t>R squared</a:t>
          </a:r>
          <a:r>
            <a:rPr lang="en-IN" sz="1100" b="0" i="0">
              <a:solidFill>
                <a:schemeClr val="tx1"/>
              </a:solidFill>
              <a:effectLst/>
              <a:latin typeface="+mn-lt"/>
              <a:ea typeface="+mn-ea"/>
              <a:cs typeface="+mn-cs"/>
            </a:rPr>
            <a:t>. This is r</a:t>
          </a:r>
          <a:r>
            <a:rPr lang="en-IN" sz="1100" b="0" i="0" baseline="30000">
              <a:solidFill>
                <a:schemeClr val="tx1"/>
              </a:solidFill>
              <a:effectLst/>
              <a:latin typeface="+mn-lt"/>
              <a:ea typeface="+mn-ea"/>
              <a:cs typeface="+mn-cs"/>
            </a:rPr>
            <a:t>2</a:t>
          </a:r>
          <a:r>
            <a:rPr lang="en-IN" sz="1100" b="0" i="0">
              <a:solidFill>
                <a:schemeClr val="tx1"/>
              </a:solidFill>
              <a:effectLst/>
              <a:latin typeface="+mn-lt"/>
              <a:ea typeface="+mn-ea"/>
              <a:cs typeface="+mn-cs"/>
            </a:rPr>
            <a:t>, the </a:t>
          </a:r>
          <a:r>
            <a:rPr lang="en-IN" sz="1100" b="0" i="0" u="none" strike="noStrike">
              <a:solidFill>
                <a:schemeClr val="tx1"/>
              </a:solidFill>
              <a:effectLst/>
              <a:latin typeface="+mn-lt"/>
              <a:ea typeface="+mn-ea"/>
              <a:cs typeface="+mn-cs"/>
              <a:hlinkClick xmlns:r="http://schemas.openxmlformats.org/officeDocument/2006/relationships" r:id=""/>
            </a:rPr>
            <a:t>Coefficient of Determination</a:t>
          </a:r>
          <a:r>
            <a:rPr lang="en-IN" sz="1100" b="0" i="0">
              <a:solidFill>
                <a:schemeClr val="tx1"/>
              </a:solidFill>
              <a:effectLst/>
              <a:latin typeface="+mn-lt"/>
              <a:ea typeface="+mn-ea"/>
              <a:cs typeface="+mn-cs"/>
            </a:rPr>
            <a:t>. It tells you how many points fall on the regression line. for example, 80% means that 80% of the variation of y-values around the mean are explained by the x-values. In other words, 80% of the values fit the model.</a:t>
          </a:r>
        </a:p>
        <a:p>
          <a:pPr fontAlgn="base"/>
          <a:endParaRPr lang="en-IN" sz="1100" b="0" i="0">
            <a:solidFill>
              <a:schemeClr val="tx1"/>
            </a:solidFill>
            <a:effectLst/>
            <a:latin typeface="+mn-lt"/>
            <a:ea typeface="+mn-ea"/>
            <a:cs typeface="+mn-cs"/>
          </a:endParaRPr>
        </a:p>
        <a:p>
          <a:pPr fontAlgn="base"/>
          <a:r>
            <a:rPr lang="en-IN" sz="1100" b="1" i="0" u="none" strike="noStrike">
              <a:solidFill>
                <a:schemeClr val="tx1"/>
              </a:solidFill>
              <a:effectLst/>
              <a:latin typeface="+mn-lt"/>
              <a:ea typeface="+mn-ea"/>
              <a:cs typeface="+mn-cs"/>
              <a:hlinkClick xmlns:r="http://schemas.openxmlformats.org/officeDocument/2006/relationships" r:id=""/>
            </a:rPr>
            <a:t>Adjusted R square</a:t>
          </a:r>
          <a:r>
            <a:rPr lang="en-IN" sz="1100" b="1" i="0">
              <a:solidFill>
                <a:schemeClr val="tx1"/>
              </a:solidFill>
              <a:effectLst/>
              <a:latin typeface="+mn-lt"/>
              <a:ea typeface="+mn-ea"/>
              <a:cs typeface="+mn-cs"/>
            </a:rPr>
            <a:t>.</a:t>
          </a:r>
          <a:r>
            <a:rPr lang="en-IN" sz="1100" b="0" i="0">
              <a:solidFill>
                <a:schemeClr val="tx1"/>
              </a:solidFill>
              <a:effectLst/>
              <a:latin typeface="+mn-lt"/>
              <a:ea typeface="+mn-ea"/>
              <a:cs typeface="+mn-cs"/>
            </a:rPr>
            <a:t> The adjusted R-square adjusts for the number of terms in a model. You’ll want to use this instead of #2 if you have more than one x </a:t>
          </a:r>
          <a:r>
            <a:rPr lang="en-IN" sz="1100" b="0" i="0" u="none" strike="noStrike">
              <a:solidFill>
                <a:schemeClr val="tx1"/>
              </a:solidFill>
              <a:effectLst/>
              <a:latin typeface="+mn-lt"/>
              <a:ea typeface="+mn-ea"/>
              <a:cs typeface="+mn-cs"/>
              <a:hlinkClick xmlns:r="http://schemas.openxmlformats.org/officeDocument/2006/relationships" r:id=""/>
            </a:rPr>
            <a:t>variable</a:t>
          </a:r>
          <a:r>
            <a:rPr lang="en-IN" sz="1100" b="0" i="0">
              <a:solidFill>
                <a:schemeClr val="tx1"/>
              </a:solidFill>
              <a:effectLst/>
              <a:latin typeface="+mn-lt"/>
              <a:ea typeface="+mn-ea"/>
              <a:cs typeface="+mn-cs"/>
            </a:rPr>
            <a:t>.</a:t>
          </a:r>
        </a:p>
        <a:p>
          <a:pPr fontAlgn="base"/>
          <a:endParaRPr lang="en-IN" sz="1100" b="1" i="0" u="none" strike="noStrike">
            <a:solidFill>
              <a:schemeClr val="tx1"/>
            </a:solidFill>
            <a:effectLst/>
            <a:latin typeface="+mn-lt"/>
            <a:ea typeface="+mn-ea"/>
            <a:cs typeface="+mn-cs"/>
            <a:hlinkClick xmlns:r="http://schemas.openxmlformats.org/officeDocument/2006/relationships" r:id=""/>
          </a:endParaRPr>
        </a:p>
        <a:p>
          <a:pPr fontAlgn="base"/>
          <a:r>
            <a:rPr lang="en-IN" sz="1100" b="1" i="0" u="none" strike="noStrike">
              <a:solidFill>
                <a:schemeClr val="tx1"/>
              </a:solidFill>
              <a:effectLst/>
              <a:latin typeface="+mn-lt"/>
              <a:ea typeface="+mn-ea"/>
              <a:cs typeface="+mn-cs"/>
              <a:hlinkClick xmlns:r="http://schemas.openxmlformats.org/officeDocument/2006/relationships" r:id=""/>
            </a:rPr>
            <a:t>Standard Error of the regression</a:t>
          </a:r>
          <a:r>
            <a:rPr lang="en-IN" sz="1100" b="1" i="0">
              <a:solidFill>
                <a:schemeClr val="tx1"/>
              </a:solidFill>
              <a:effectLst/>
              <a:latin typeface="+mn-lt"/>
              <a:ea typeface="+mn-ea"/>
              <a:cs typeface="+mn-cs"/>
            </a:rPr>
            <a:t>:</a:t>
          </a:r>
          <a:r>
            <a:rPr lang="en-IN" sz="1100" b="0" i="0">
              <a:solidFill>
                <a:schemeClr val="tx1"/>
              </a:solidFill>
              <a:effectLst/>
              <a:latin typeface="+mn-lt"/>
              <a:ea typeface="+mn-ea"/>
              <a:cs typeface="+mn-cs"/>
            </a:rPr>
            <a:t> An estimate of the standard deviation of the error </a:t>
          </a:r>
          <a:r>
            <a:rPr lang="el-GR" sz="1100" b="0" i="0">
              <a:solidFill>
                <a:schemeClr val="tx1"/>
              </a:solidFill>
              <a:effectLst/>
              <a:latin typeface="+mn-lt"/>
              <a:ea typeface="+mn-ea"/>
              <a:cs typeface="+mn-cs"/>
            </a:rPr>
            <a:t>μ. </a:t>
          </a:r>
          <a:r>
            <a:rPr lang="en-IN" sz="1100" b="0" i="0">
              <a:solidFill>
                <a:schemeClr val="tx1"/>
              </a:solidFill>
              <a:effectLst/>
              <a:latin typeface="+mn-lt"/>
              <a:ea typeface="+mn-ea"/>
              <a:cs typeface="+mn-cs"/>
            </a:rPr>
            <a:t>This is </a:t>
          </a:r>
          <a:r>
            <a:rPr lang="en-IN" sz="1100" b="0" i="1">
              <a:solidFill>
                <a:schemeClr val="tx1"/>
              </a:solidFill>
              <a:effectLst/>
              <a:latin typeface="+mn-lt"/>
              <a:ea typeface="+mn-ea"/>
              <a:cs typeface="+mn-cs"/>
            </a:rPr>
            <a:t>not</a:t>
          </a:r>
          <a:r>
            <a:rPr lang="en-IN" sz="1100" b="0" i="0">
              <a:solidFill>
                <a:schemeClr val="tx1"/>
              </a:solidFill>
              <a:effectLst/>
              <a:latin typeface="+mn-lt"/>
              <a:ea typeface="+mn-ea"/>
              <a:cs typeface="+mn-cs"/>
            </a:rPr>
            <a:t> the same as the </a:t>
          </a:r>
          <a:r>
            <a:rPr lang="en-IN" sz="1100" b="0" i="0" u="none" strike="noStrike">
              <a:solidFill>
                <a:schemeClr val="tx1"/>
              </a:solidFill>
              <a:effectLst/>
              <a:latin typeface="+mn-lt"/>
              <a:ea typeface="+mn-ea"/>
              <a:cs typeface="+mn-cs"/>
              <a:hlinkClick xmlns:r="http://schemas.openxmlformats.org/officeDocument/2006/relationships" r:id=""/>
            </a:rPr>
            <a:t>standard error</a:t>
          </a:r>
          <a:r>
            <a:rPr lang="en-IN" sz="1100" b="0" i="0">
              <a:solidFill>
                <a:schemeClr val="tx1"/>
              </a:solidFill>
              <a:effectLst/>
              <a:latin typeface="+mn-lt"/>
              <a:ea typeface="+mn-ea"/>
              <a:cs typeface="+mn-cs"/>
            </a:rPr>
            <a:t> in </a:t>
          </a:r>
          <a:r>
            <a:rPr lang="en-IN" sz="1100" b="0" i="0" u="none" strike="noStrike">
              <a:solidFill>
                <a:schemeClr val="tx1"/>
              </a:solidFill>
              <a:effectLst/>
              <a:latin typeface="+mn-lt"/>
              <a:ea typeface="+mn-ea"/>
              <a:cs typeface="+mn-cs"/>
              <a:hlinkClick xmlns:r="http://schemas.openxmlformats.org/officeDocument/2006/relationships" r:id=""/>
            </a:rPr>
            <a:t>descriptive statistics</a:t>
          </a:r>
          <a:r>
            <a:rPr lang="en-IN" sz="1100" b="0" i="0">
              <a:solidFill>
                <a:schemeClr val="tx1"/>
              </a:solidFill>
              <a:effectLst/>
              <a:latin typeface="+mn-lt"/>
              <a:ea typeface="+mn-ea"/>
              <a:cs typeface="+mn-cs"/>
            </a:rPr>
            <a:t>! The standard error of the regression is the precision that the </a:t>
          </a:r>
          <a:r>
            <a:rPr lang="en-IN" sz="1100" b="0" i="0" u="none" strike="noStrike">
              <a:solidFill>
                <a:schemeClr val="tx1"/>
              </a:solidFill>
              <a:effectLst/>
              <a:latin typeface="+mn-lt"/>
              <a:ea typeface="+mn-ea"/>
              <a:cs typeface="+mn-cs"/>
              <a:hlinkClick xmlns:r="http://schemas.openxmlformats.org/officeDocument/2006/relationships" r:id=""/>
            </a:rPr>
            <a:t>regression coefficient</a:t>
          </a:r>
          <a:r>
            <a:rPr lang="en-IN" sz="1100" b="0" i="0">
              <a:solidFill>
                <a:schemeClr val="tx1"/>
              </a:solidFill>
              <a:effectLst/>
              <a:latin typeface="+mn-lt"/>
              <a:ea typeface="+mn-ea"/>
              <a:cs typeface="+mn-cs"/>
            </a:rPr>
            <a:t> is measured; if the </a:t>
          </a:r>
          <a:r>
            <a:rPr lang="en-IN" sz="1100" b="0" i="0" u="none" strike="noStrike">
              <a:solidFill>
                <a:schemeClr val="tx1"/>
              </a:solidFill>
              <a:effectLst/>
              <a:latin typeface="+mn-lt"/>
              <a:ea typeface="+mn-ea"/>
              <a:cs typeface="+mn-cs"/>
              <a:hlinkClick xmlns:r="http://schemas.openxmlformats.org/officeDocument/2006/relationships" r:id=""/>
            </a:rPr>
            <a:t>coefficient </a:t>
          </a:r>
          <a:r>
            <a:rPr lang="en-IN" sz="1100" b="0" i="0">
              <a:solidFill>
                <a:schemeClr val="tx1"/>
              </a:solidFill>
              <a:effectLst/>
              <a:latin typeface="+mn-lt"/>
              <a:ea typeface="+mn-ea"/>
              <a:cs typeface="+mn-cs"/>
            </a:rPr>
            <a:t>is large compared to the </a:t>
          </a:r>
          <a:r>
            <a:rPr lang="en-IN" sz="1100" b="0" i="0" u="none" strike="noStrike">
              <a:solidFill>
                <a:schemeClr val="tx1"/>
              </a:solidFill>
              <a:effectLst/>
              <a:latin typeface="+mn-lt"/>
              <a:ea typeface="+mn-ea"/>
              <a:cs typeface="+mn-cs"/>
              <a:hlinkClick xmlns:r="http://schemas.openxmlformats.org/officeDocument/2006/relationships" r:id=""/>
            </a:rPr>
            <a:t>standard error</a:t>
          </a:r>
          <a:r>
            <a:rPr lang="en-IN" sz="1100" b="0" i="0">
              <a:solidFill>
                <a:schemeClr val="tx1"/>
              </a:solidFill>
              <a:effectLst/>
              <a:latin typeface="+mn-lt"/>
              <a:ea typeface="+mn-ea"/>
              <a:cs typeface="+mn-cs"/>
            </a:rPr>
            <a:t>, then the coefficient is probably different from 0.</a:t>
          </a:r>
        </a:p>
        <a:p>
          <a:pPr fontAlgn="base"/>
          <a:endParaRPr lang="en-IN" sz="1100" b="0" i="0">
            <a:solidFill>
              <a:schemeClr val="tx1"/>
            </a:solidFill>
            <a:effectLst/>
            <a:latin typeface="+mn-lt"/>
            <a:ea typeface="+mn-ea"/>
            <a:cs typeface="+mn-cs"/>
          </a:endParaRPr>
        </a:p>
        <a:p>
          <a:pPr fontAlgn="base"/>
          <a:r>
            <a:rPr lang="en-IN" sz="1100" b="1" i="0">
              <a:solidFill>
                <a:schemeClr val="tx1"/>
              </a:solidFill>
              <a:effectLst/>
              <a:latin typeface="+mn-lt"/>
              <a:ea typeface="+mn-ea"/>
              <a:cs typeface="+mn-cs"/>
            </a:rPr>
            <a:t>Observations</a:t>
          </a:r>
          <a:r>
            <a:rPr lang="en-IN" sz="1100" b="0" i="0">
              <a:solidFill>
                <a:schemeClr val="tx1"/>
              </a:solidFill>
              <a:effectLst/>
              <a:latin typeface="+mn-lt"/>
              <a:ea typeface="+mn-ea"/>
              <a:cs typeface="+mn-cs"/>
            </a:rPr>
            <a:t>. Number of observations in the </a:t>
          </a:r>
          <a:r>
            <a:rPr lang="en-IN" sz="1100" b="0" i="0" u="none" strike="noStrike">
              <a:solidFill>
                <a:schemeClr val="tx1"/>
              </a:solidFill>
              <a:effectLst/>
              <a:latin typeface="+mn-lt"/>
              <a:ea typeface="+mn-ea"/>
              <a:cs typeface="+mn-cs"/>
              <a:hlinkClick xmlns:r="http://schemas.openxmlformats.org/officeDocument/2006/relationships" r:id=""/>
            </a:rPr>
            <a:t>sample</a:t>
          </a:r>
          <a:r>
            <a:rPr lang="en-IN" sz="1100" b="0" i="0">
              <a:solidFill>
                <a:schemeClr val="tx1"/>
              </a:solidFill>
              <a:effectLst/>
              <a:latin typeface="+mn-lt"/>
              <a:ea typeface="+mn-ea"/>
              <a:cs typeface="+mn-cs"/>
            </a:rPr>
            <a:t>.</a:t>
          </a:r>
        </a:p>
        <a:p>
          <a:endParaRPr lang="en-IN" sz="1100"/>
        </a:p>
      </xdr:txBody>
    </xdr:sp>
    <xdr:clientData/>
  </xdr:oneCellAnchor>
  <xdr:oneCellAnchor>
    <xdr:from>
      <xdr:col>0</xdr:col>
      <xdr:colOff>198120</xdr:colOff>
      <xdr:row>31</xdr:row>
      <xdr:rowOff>30480</xdr:rowOff>
    </xdr:from>
    <xdr:ext cx="4582921" cy="2331279"/>
    <xdr:sp macro="" textlink="">
      <xdr:nvSpPr>
        <xdr:cNvPr id="3" name="TextBox 2">
          <a:extLst>
            <a:ext uri="{FF2B5EF4-FFF2-40B4-BE49-F238E27FC236}">
              <a16:creationId xmlns:a16="http://schemas.microsoft.com/office/drawing/2014/main" id="{664F5102-CBAF-4D42-B10C-65E88B9D823E}"/>
            </a:ext>
          </a:extLst>
        </xdr:cNvPr>
        <xdr:cNvSpPr txBox="1"/>
      </xdr:nvSpPr>
      <xdr:spPr>
        <a:xfrm>
          <a:off x="198120" y="5745480"/>
          <a:ext cx="4582921" cy="23312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fontAlgn="base"/>
          <a:r>
            <a:rPr lang="en-IN" sz="1100" b="0" i="0">
              <a:solidFill>
                <a:schemeClr val="tx1"/>
              </a:solidFill>
              <a:effectLst/>
              <a:latin typeface="+mn-lt"/>
              <a:ea typeface="+mn-ea"/>
              <a:cs typeface="+mn-cs"/>
            </a:rPr>
            <a:t>The columns are:</a:t>
          </a:r>
        </a:p>
        <a:p>
          <a:pPr fontAlgn="base"/>
          <a:endParaRPr lang="en-IN" sz="1100" b="0" i="0">
            <a:solidFill>
              <a:schemeClr val="tx1"/>
            </a:solidFill>
            <a:effectLst/>
            <a:latin typeface="+mn-lt"/>
            <a:ea typeface="+mn-ea"/>
            <a:cs typeface="+mn-cs"/>
          </a:endParaRPr>
        </a:p>
        <a:p>
          <a:pPr fontAlgn="base"/>
          <a:r>
            <a:rPr lang="en-IN" sz="1100" b="1" i="0">
              <a:solidFill>
                <a:schemeClr val="tx1"/>
              </a:solidFill>
              <a:effectLst/>
              <a:latin typeface="+mn-lt"/>
              <a:ea typeface="+mn-ea"/>
              <a:cs typeface="+mn-cs"/>
            </a:rPr>
            <a:t>Coefficient: </a:t>
          </a:r>
          <a:r>
            <a:rPr lang="en-IN" sz="1100" b="0" i="0">
              <a:solidFill>
                <a:schemeClr val="tx1"/>
              </a:solidFill>
              <a:effectLst/>
              <a:latin typeface="+mn-lt"/>
              <a:ea typeface="+mn-ea"/>
              <a:cs typeface="+mn-cs"/>
            </a:rPr>
            <a:t>Gives you the </a:t>
          </a:r>
          <a:r>
            <a:rPr lang="en-IN" sz="1100" b="0" i="0" u="none" strike="noStrike">
              <a:solidFill>
                <a:schemeClr val="tx1"/>
              </a:solidFill>
              <a:effectLst/>
              <a:latin typeface="+mn-lt"/>
              <a:ea typeface="+mn-ea"/>
              <a:cs typeface="+mn-cs"/>
              <a:hlinkClick xmlns:r="http://schemas.openxmlformats.org/officeDocument/2006/relationships" r:id=""/>
            </a:rPr>
            <a:t>least squares</a:t>
          </a:r>
          <a:r>
            <a:rPr lang="en-IN" sz="1100" b="0" i="0">
              <a:solidFill>
                <a:schemeClr val="tx1"/>
              </a:solidFill>
              <a:effectLst/>
              <a:latin typeface="+mn-lt"/>
              <a:ea typeface="+mn-ea"/>
              <a:cs typeface="+mn-cs"/>
            </a:rPr>
            <a:t> estimate.</a:t>
          </a:r>
        </a:p>
        <a:p>
          <a:pPr fontAlgn="base"/>
          <a:endParaRPr lang="en-IN" sz="1100" b="0" i="0">
            <a:solidFill>
              <a:schemeClr val="tx1"/>
            </a:solidFill>
            <a:effectLst/>
            <a:latin typeface="+mn-lt"/>
            <a:ea typeface="+mn-ea"/>
            <a:cs typeface="+mn-cs"/>
          </a:endParaRPr>
        </a:p>
        <a:p>
          <a:pPr fontAlgn="base"/>
          <a:r>
            <a:rPr lang="en-IN" sz="1100" b="1" i="0">
              <a:solidFill>
                <a:schemeClr val="tx1"/>
              </a:solidFill>
              <a:effectLst/>
              <a:latin typeface="+mn-lt"/>
              <a:ea typeface="+mn-ea"/>
              <a:cs typeface="+mn-cs"/>
            </a:rPr>
            <a:t>Standard Error: </a:t>
          </a:r>
          <a:r>
            <a:rPr lang="en-IN" sz="1100" b="0" i="0">
              <a:solidFill>
                <a:schemeClr val="tx1"/>
              </a:solidFill>
              <a:effectLst/>
              <a:latin typeface="+mn-lt"/>
              <a:ea typeface="+mn-ea"/>
              <a:cs typeface="+mn-cs"/>
            </a:rPr>
            <a:t>the least squares estimate of the </a:t>
          </a:r>
          <a:r>
            <a:rPr lang="en-IN" sz="1100" b="0" i="0" u="none" strike="noStrike">
              <a:solidFill>
                <a:schemeClr val="tx1"/>
              </a:solidFill>
              <a:effectLst/>
              <a:latin typeface="+mn-lt"/>
              <a:ea typeface="+mn-ea"/>
              <a:cs typeface="+mn-cs"/>
              <a:hlinkClick xmlns:r="http://schemas.openxmlformats.org/officeDocument/2006/relationships" r:id=""/>
            </a:rPr>
            <a:t>standard error</a:t>
          </a:r>
          <a:r>
            <a:rPr lang="en-IN" sz="1100" b="0" i="0">
              <a:solidFill>
                <a:schemeClr val="tx1"/>
              </a:solidFill>
              <a:effectLst/>
              <a:latin typeface="+mn-lt"/>
              <a:ea typeface="+mn-ea"/>
              <a:cs typeface="+mn-cs"/>
            </a:rPr>
            <a:t>.</a:t>
          </a:r>
        </a:p>
        <a:p>
          <a:pPr fontAlgn="base"/>
          <a:endParaRPr lang="en-IN" sz="1100" b="0" i="0" u="none" strike="noStrike">
            <a:solidFill>
              <a:schemeClr val="tx1"/>
            </a:solidFill>
            <a:effectLst/>
            <a:latin typeface="+mn-lt"/>
            <a:ea typeface="+mn-ea"/>
            <a:cs typeface="+mn-cs"/>
            <a:hlinkClick xmlns:r="http://schemas.openxmlformats.org/officeDocument/2006/relationships" r:id=""/>
          </a:endParaRPr>
        </a:p>
        <a:p>
          <a:pPr fontAlgn="base"/>
          <a:r>
            <a:rPr lang="en-IN" sz="1100" b="1" i="0" u="none" strike="noStrike">
              <a:solidFill>
                <a:schemeClr val="tx1"/>
              </a:solidFill>
              <a:effectLst/>
              <a:latin typeface="+mn-lt"/>
              <a:ea typeface="+mn-ea"/>
              <a:cs typeface="+mn-cs"/>
              <a:hlinkClick xmlns:r="http://schemas.openxmlformats.org/officeDocument/2006/relationships" r:id=""/>
            </a:rPr>
            <a:t>T Statistic</a:t>
          </a:r>
          <a:r>
            <a:rPr lang="en-IN" sz="1100" b="1" i="0">
              <a:solidFill>
                <a:schemeClr val="tx1"/>
              </a:solidFill>
              <a:effectLst/>
              <a:latin typeface="+mn-lt"/>
              <a:ea typeface="+mn-ea"/>
              <a:cs typeface="+mn-cs"/>
            </a:rPr>
            <a:t>: </a:t>
          </a:r>
          <a:r>
            <a:rPr lang="en-IN" sz="1100" b="0" i="0">
              <a:solidFill>
                <a:schemeClr val="tx1"/>
              </a:solidFill>
              <a:effectLst/>
              <a:latin typeface="+mn-lt"/>
              <a:ea typeface="+mn-ea"/>
              <a:cs typeface="+mn-cs"/>
            </a:rPr>
            <a:t>The T Statistic for the </a:t>
          </a:r>
          <a:r>
            <a:rPr lang="en-IN" sz="1100" b="0" i="0" u="none" strike="noStrike">
              <a:solidFill>
                <a:schemeClr val="tx1"/>
              </a:solidFill>
              <a:effectLst/>
              <a:latin typeface="+mn-lt"/>
              <a:ea typeface="+mn-ea"/>
              <a:cs typeface="+mn-cs"/>
              <a:hlinkClick xmlns:r="http://schemas.openxmlformats.org/officeDocument/2006/relationships" r:id=""/>
            </a:rPr>
            <a:t>null hypothesis</a:t>
          </a:r>
          <a:r>
            <a:rPr lang="en-IN" sz="1100" b="0" i="0">
              <a:solidFill>
                <a:schemeClr val="tx1"/>
              </a:solidFill>
              <a:effectLst/>
              <a:latin typeface="+mn-lt"/>
              <a:ea typeface="+mn-ea"/>
              <a:cs typeface="+mn-cs"/>
            </a:rPr>
            <a:t> vs. the </a:t>
          </a:r>
          <a:r>
            <a:rPr lang="en-IN" sz="1100" b="0" i="0" u="none" strike="noStrike">
              <a:solidFill>
                <a:schemeClr val="tx1"/>
              </a:solidFill>
              <a:effectLst/>
              <a:latin typeface="+mn-lt"/>
              <a:ea typeface="+mn-ea"/>
              <a:cs typeface="+mn-cs"/>
              <a:hlinkClick xmlns:r="http://schemas.openxmlformats.org/officeDocument/2006/relationships" r:id=""/>
            </a:rPr>
            <a:t>alternate hypothesis</a:t>
          </a:r>
          <a:r>
            <a:rPr lang="en-IN" sz="1100" b="0" i="0">
              <a:solidFill>
                <a:schemeClr val="tx1"/>
              </a:solidFill>
              <a:effectLst/>
              <a:latin typeface="+mn-lt"/>
              <a:ea typeface="+mn-ea"/>
              <a:cs typeface="+mn-cs"/>
            </a:rPr>
            <a:t>.</a:t>
          </a:r>
        </a:p>
        <a:p>
          <a:pPr fontAlgn="base"/>
          <a:endParaRPr lang="en-IN" sz="1100" b="0" i="0" u="none" strike="noStrike">
            <a:solidFill>
              <a:schemeClr val="tx1"/>
            </a:solidFill>
            <a:effectLst/>
            <a:latin typeface="+mn-lt"/>
            <a:ea typeface="+mn-ea"/>
            <a:cs typeface="+mn-cs"/>
            <a:hlinkClick xmlns:r="http://schemas.openxmlformats.org/officeDocument/2006/relationships" r:id=""/>
          </a:endParaRPr>
        </a:p>
        <a:p>
          <a:pPr fontAlgn="base"/>
          <a:r>
            <a:rPr lang="en-IN" sz="1100" b="1" i="0" u="none" strike="noStrike">
              <a:solidFill>
                <a:schemeClr val="tx1"/>
              </a:solidFill>
              <a:effectLst/>
              <a:latin typeface="+mn-lt"/>
              <a:ea typeface="+mn-ea"/>
              <a:cs typeface="+mn-cs"/>
              <a:hlinkClick xmlns:r="http://schemas.openxmlformats.org/officeDocument/2006/relationships" r:id=""/>
            </a:rPr>
            <a:t>P Value</a:t>
          </a:r>
          <a:r>
            <a:rPr lang="en-IN" sz="1100" b="1" i="0">
              <a:solidFill>
                <a:schemeClr val="tx1"/>
              </a:solidFill>
              <a:effectLst/>
              <a:latin typeface="+mn-lt"/>
              <a:ea typeface="+mn-ea"/>
              <a:cs typeface="+mn-cs"/>
            </a:rPr>
            <a:t>: </a:t>
          </a:r>
          <a:r>
            <a:rPr lang="en-IN" sz="1100" b="0" i="0">
              <a:solidFill>
                <a:schemeClr val="tx1"/>
              </a:solidFill>
              <a:effectLst/>
              <a:latin typeface="+mn-lt"/>
              <a:ea typeface="+mn-ea"/>
              <a:cs typeface="+mn-cs"/>
            </a:rPr>
            <a:t>Gives you the p-value for the </a:t>
          </a:r>
          <a:r>
            <a:rPr lang="en-IN" sz="1100" b="0" i="0" u="none" strike="noStrike">
              <a:solidFill>
                <a:schemeClr val="tx1"/>
              </a:solidFill>
              <a:effectLst/>
              <a:latin typeface="+mn-lt"/>
              <a:ea typeface="+mn-ea"/>
              <a:cs typeface="+mn-cs"/>
              <a:hlinkClick xmlns:r="http://schemas.openxmlformats.org/officeDocument/2006/relationships" r:id=""/>
            </a:rPr>
            <a:t>hypothesis test</a:t>
          </a:r>
          <a:r>
            <a:rPr lang="en-IN" sz="1100" b="0" i="0">
              <a:solidFill>
                <a:schemeClr val="tx1"/>
              </a:solidFill>
              <a:effectLst/>
              <a:latin typeface="+mn-lt"/>
              <a:ea typeface="+mn-ea"/>
              <a:cs typeface="+mn-cs"/>
            </a:rPr>
            <a:t>.</a:t>
          </a:r>
        </a:p>
        <a:p>
          <a:pPr fontAlgn="base"/>
          <a:endParaRPr lang="en-IN" sz="1100" b="0" i="0">
            <a:solidFill>
              <a:schemeClr val="tx1"/>
            </a:solidFill>
            <a:effectLst/>
            <a:latin typeface="+mn-lt"/>
            <a:ea typeface="+mn-ea"/>
            <a:cs typeface="+mn-cs"/>
          </a:endParaRPr>
        </a:p>
        <a:p>
          <a:pPr fontAlgn="base"/>
          <a:r>
            <a:rPr lang="en-IN" sz="1100" b="1" i="0">
              <a:solidFill>
                <a:schemeClr val="tx1"/>
              </a:solidFill>
              <a:effectLst/>
              <a:latin typeface="+mn-lt"/>
              <a:ea typeface="+mn-ea"/>
              <a:cs typeface="+mn-cs"/>
            </a:rPr>
            <a:t>Lower 95%: </a:t>
          </a:r>
          <a:r>
            <a:rPr lang="en-IN" sz="1100" b="0" i="0">
              <a:solidFill>
                <a:schemeClr val="tx1"/>
              </a:solidFill>
              <a:effectLst/>
              <a:latin typeface="+mn-lt"/>
              <a:ea typeface="+mn-ea"/>
              <a:cs typeface="+mn-cs"/>
            </a:rPr>
            <a:t>The lower boundary for the </a:t>
          </a:r>
          <a:r>
            <a:rPr lang="en-IN" sz="1100" b="0" i="0" u="none" strike="noStrike">
              <a:solidFill>
                <a:schemeClr val="tx1"/>
              </a:solidFill>
              <a:effectLst/>
              <a:latin typeface="+mn-lt"/>
              <a:ea typeface="+mn-ea"/>
              <a:cs typeface="+mn-cs"/>
              <a:hlinkClick xmlns:r="http://schemas.openxmlformats.org/officeDocument/2006/relationships" r:id=""/>
            </a:rPr>
            <a:t>confidence interval</a:t>
          </a:r>
          <a:r>
            <a:rPr lang="en-IN" sz="1100" b="0" i="0">
              <a:solidFill>
                <a:schemeClr val="tx1"/>
              </a:solidFill>
              <a:effectLst/>
              <a:latin typeface="+mn-lt"/>
              <a:ea typeface="+mn-ea"/>
              <a:cs typeface="+mn-cs"/>
            </a:rPr>
            <a:t>.</a:t>
          </a:r>
        </a:p>
        <a:p>
          <a:pPr fontAlgn="base"/>
          <a:endParaRPr lang="en-IN" sz="1100" b="0" i="0">
            <a:solidFill>
              <a:schemeClr val="tx1"/>
            </a:solidFill>
            <a:effectLst/>
            <a:latin typeface="+mn-lt"/>
            <a:ea typeface="+mn-ea"/>
            <a:cs typeface="+mn-cs"/>
          </a:endParaRPr>
        </a:p>
        <a:p>
          <a:pPr fontAlgn="base"/>
          <a:r>
            <a:rPr lang="en-IN" sz="1100" b="1" i="0">
              <a:solidFill>
                <a:schemeClr val="tx1"/>
              </a:solidFill>
              <a:effectLst/>
              <a:latin typeface="+mn-lt"/>
              <a:ea typeface="+mn-ea"/>
              <a:cs typeface="+mn-cs"/>
            </a:rPr>
            <a:t>Upper 95%: </a:t>
          </a:r>
          <a:r>
            <a:rPr lang="en-IN" sz="1100" b="0" i="0">
              <a:solidFill>
                <a:schemeClr val="tx1"/>
              </a:solidFill>
              <a:effectLst/>
              <a:latin typeface="+mn-lt"/>
              <a:ea typeface="+mn-ea"/>
              <a:cs typeface="+mn-cs"/>
            </a:rPr>
            <a:t>The upper boundary for the </a:t>
          </a:r>
          <a:r>
            <a:rPr lang="en-IN" sz="1100" b="0" i="0" u="none" strike="noStrike">
              <a:solidFill>
                <a:schemeClr val="tx1"/>
              </a:solidFill>
              <a:effectLst/>
              <a:latin typeface="+mn-lt"/>
              <a:ea typeface="+mn-ea"/>
              <a:cs typeface="+mn-cs"/>
              <a:hlinkClick xmlns:r="http://schemas.openxmlformats.org/officeDocument/2006/relationships" r:id=""/>
            </a:rPr>
            <a:t>confidence interval</a:t>
          </a:r>
          <a:r>
            <a:rPr lang="en-IN" sz="1100" b="0" i="0">
              <a:solidFill>
                <a:schemeClr val="tx1"/>
              </a:solidFill>
              <a:effectLst/>
              <a:latin typeface="+mn-lt"/>
              <a:ea typeface="+mn-ea"/>
              <a:cs typeface="+mn-cs"/>
            </a:rPr>
            <a:t>.</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1</xdr:col>
      <xdr:colOff>85725</xdr:colOff>
      <xdr:row>20</xdr:row>
      <xdr:rowOff>123825</xdr:rowOff>
    </xdr:from>
    <xdr:ext cx="7139647" cy="436786"/>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742950" y="3990975"/>
          <a:ext cx="7139647"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rtl="0" eaLnBrk="0" fontAlgn="base" hangingPunct="0"/>
          <a:r>
            <a:rPr lang="en-US" sz="1100" u="sng">
              <a:solidFill>
                <a:schemeClr val="tx1"/>
              </a:solidFill>
              <a:effectLst/>
              <a:latin typeface="+mn-lt"/>
              <a:ea typeface="+mn-ea"/>
              <a:cs typeface="+mn-cs"/>
            </a:rPr>
            <a:t>Correlation </a:t>
          </a:r>
          <a:r>
            <a:rPr lang="en-US" sz="1100">
              <a:solidFill>
                <a:schemeClr val="tx1"/>
              </a:solidFill>
              <a:effectLst/>
              <a:latin typeface="+mn-lt"/>
              <a:ea typeface="+mn-ea"/>
              <a:cs typeface="+mn-cs"/>
            </a:rPr>
            <a:t>between the two independent variables: </a:t>
          </a:r>
          <a:r>
            <a:rPr lang="en-US" sz="1100" i="1">
              <a:solidFill>
                <a:schemeClr val="tx1"/>
              </a:solidFill>
              <a:effectLst/>
              <a:latin typeface="+mn-lt"/>
              <a:ea typeface="+mn-ea"/>
              <a:cs typeface="+mn-cs"/>
            </a:rPr>
            <a:t>0.123</a:t>
          </a:r>
          <a:r>
            <a:rPr lang="en-US" sz="1100">
              <a:solidFill>
                <a:schemeClr val="tx1"/>
              </a:solidFill>
              <a:effectLst/>
              <a:latin typeface="+mn-lt"/>
              <a:ea typeface="+mn-ea"/>
              <a:cs typeface="+mn-cs"/>
            </a:rPr>
            <a:t>, which is not significant.</a:t>
          </a:r>
          <a:endParaRPr lang="en-IN">
            <a:effectLst/>
          </a:endParaRPr>
        </a:p>
        <a:p>
          <a:pPr rtl="0" eaLnBrk="0" fontAlgn="base" hangingPunct="0"/>
          <a:r>
            <a:rPr lang="en-US" sz="1100">
              <a:solidFill>
                <a:schemeClr val="tx1"/>
              </a:solidFill>
              <a:effectLst/>
              <a:latin typeface="+mn-lt"/>
              <a:ea typeface="+mn-ea"/>
              <a:cs typeface="+mn-cs"/>
            </a:rPr>
            <a:t>If two independent variables are highly correlated to each other, only one of them should be used  in multiple regression.</a:t>
          </a:r>
          <a:endParaRPr lang="en-IN">
            <a:effectLst/>
          </a:endParaRP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2:E31"/>
  <sheetViews>
    <sheetView showGridLines="0" zoomScale="130" zoomScaleNormal="130" workbookViewId="0">
      <selection activeCell="E13" sqref="E13"/>
    </sheetView>
  </sheetViews>
  <sheetFormatPr defaultRowHeight="14.4" x14ac:dyDescent="0.3"/>
  <cols>
    <col min="2" max="2" width="9.88671875" bestFit="1" customWidth="1"/>
    <col min="3" max="3" width="15.44140625" bestFit="1" customWidth="1"/>
    <col min="5" max="5" width="17.44140625" bestFit="1" customWidth="1"/>
  </cols>
  <sheetData>
    <row r="12" spans="2:5" s="2" customFormat="1" x14ac:dyDescent="0.3">
      <c r="B12" s="9" t="s">
        <v>0</v>
      </c>
      <c r="C12" s="9" t="s">
        <v>1</v>
      </c>
      <c r="D12" s="5" t="s">
        <v>3</v>
      </c>
      <c r="E12" s="5" t="s">
        <v>4</v>
      </c>
    </row>
    <row r="13" spans="2:5" s="2" customFormat="1" x14ac:dyDescent="0.3">
      <c r="B13" s="2">
        <v>1</v>
      </c>
      <c r="C13" s="3">
        <v>250</v>
      </c>
      <c r="D13" s="3">
        <f>C13-$C$23</f>
        <v>-310</v>
      </c>
      <c r="E13" s="4">
        <f>D13^2</f>
        <v>96100</v>
      </c>
    </row>
    <row r="14" spans="2:5" s="2" customFormat="1" x14ac:dyDescent="0.3">
      <c r="B14" s="2">
        <v>2</v>
      </c>
      <c r="C14" s="3">
        <v>850</v>
      </c>
      <c r="D14" s="3">
        <f t="shared" ref="D14:D22" si="0">C14-$C$23</f>
        <v>290</v>
      </c>
      <c r="E14" s="4">
        <f t="shared" ref="E14:E22" si="1">D14^2</f>
        <v>84100</v>
      </c>
    </row>
    <row r="15" spans="2:5" s="2" customFormat="1" x14ac:dyDescent="0.3">
      <c r="B15" s="2">
        <v>3</v>
      </c>
      <c r="C15" s="3">
        <v>550</v>
      </c>
      <c r="D15" s="3">
        <f t="shared" si="0"/>
        <v>-10</v>
      </c>
      <c r="E15" s="4">
        <f t="shared" si="1"/>
        <v>100</v>
      </c>
    </row>
    <row r="16" spans="2:5" s="2" customFormat="1" x14ac:dyDescent="0.3">
      <c r="B16" s="2">
        <v>4</v>
      </c>
      <c r="C16" s="3">
        <v>400</v>
      </c>
      <c r="D16" s="3">
        <f t="shared" si="0"/>
        <v>-160</v>
      </c>
      <c r="E16" s="4">
        <f t="shared" si="1"/>
        <v>25600</v>
      </c>
    </row>
    <row r="17" spans="2:5" s="2" customFormat="1" x14ac:dyDescent="0.3">
      <c r="B17" s="2">
        <v>5</v>
      </c>
      <c r="C17" s="3">
        <v>700</v>
      </c>
      <c r="D17" s="3">
        <f t="shared" si="0"/>
        <v>140</v>
      </c>
      <c r="E17" s="4">
        <f t="shared" si="1"/>
        <v>19600</v>
      </c>
    </row>
    <row r="18" spans="2:5" s="2" customFormat="1" x14ac:dyDescent="0.3">
      <c r="B18" s="2">
        <v>6</v>
      </c>
      <c r="C18" s="3">
        <v>250</v>
      </c>
      <c r="D18" s="3">
        <f t="shared" si="0"/>
        <v>-310</v>
      </c>
      <c r="E18" s="4">
        <f t="shared" si="1"/>
        <v>96100</v>
      </c>
    </row>
    <row r="19" spans="2:5" s="2" customFormat="1" x14ac:dyDescent="0.3">
      <c r="B19" s="2">
        <v>7</v>
      </c>
      <c r="C19" s="3">
        <v>600</v>
      </c>
      <c r="D19" s="3">
        <f t="shared" si="0"/>
        <v>40</v>
      </c>
      <c r="E19" s="4">
        <f t="shared" si="1"/>
        <v>1600</v>
      </c>
    </row>
    <row r="20" spans="2:5" s="2" customFormat="1" x14ac:dyDescent="0.3">
      <c r="B20" s="2">
        <v>8</v>
      </c>
      <c r="C20" s="3">
        <v>900</v>
      </c>
      <c r="D20" s="3">
        <f t="shared" si="0"/>
        <v>340</v>
      </c>
      <c r="E20" s="4">
        <f t="shared" si="1"/>
        <v>115600</v>
      </c>
    </row>
    <row r="21" spans="2:5" s="2" customFormat="1" x14ac:dyDescent="0.3">
      <c r="B21" s="2">
        <v>9</v>
      </c>
      <c r="C21" s="3">
        <v>450</v>
      </c>
      <c r="D21" s="3">
        <f t="shared" si="0"/>
        <v>-110</v>
      </c>
      <c r="E21" s="4">
        <f t="shared" si="1"/>
        <v>12100</v>
      </c>
    </row>
    <row r="22" spans="2:5" s="2" customFormat="1" x14ac:dyDescent="0.3">
      <c r="B22" s="2">
        <v>10</v>
      </c>
      <c r="C22" s="3">
        <v>650</v>
      </c>
      <c r="D22" s="3">
        <f t="shared" si="0"/>
        <v>90</v>
      </c>
      <c r="E22" s="4">
        <f t="shared" si="1"/>
        <v>8100</v>
      </c>
    </row>
    <row r="23" spans="2:5" s="2" customFormat="1" x14ac:dyDescent="0.3">
      <c r="B23" s="5" t="s">
        <v>2</v>
      </c>
      <c r="C23" s="6">
        <f>AVERAGE(C13:C22)</f>
        <v>560</v>
      </c>
      <c r="D23" s="7"/>
      <c r="E23" s="8">
        <f>SUM(E13:E22)</f>
        <v>459000</v>
      </c>
    </row>
    <row r="24" spans="2:5" s="2" customFormat="1" x14ac:dyDescent="0.3">
      <c r="E24" s="10" t="s">
        <v>5</v>
      </c>
    </row>
    <row r="25" spans="2:5" s="2" customFormat="1" x14ac:dyDescent="0.3">
      <c r="E25" s="10" t="s">
        <v>6</v>
      </c>
    </row>
    <row r="26" spans="2:5" s="2" customFormat="1" x14ac:dyDescent="0.3">
      <c r="E26" s="10"/>
    </row>
    <row r="27" spans="2:5" s="2" customFormat="1" x14ac:dyDescent="0.3">
      <c r="E27" s="10"/>
    </row>
    <row r="28" spans="2:5" s="2" customFormat="1" x14ac:dyDescent="0.3"/>
    <row r="29" spans="2:5" s="2" customFormat="1" x14ac:dyDescent="0.3"/>
    <row r="30" spans="2:5" s="2" customFormat="1" x14ac:dyDescent="0.3"/>
    <row r="31" spans="2:5" s="2" customFormat="1" x14ac:dyDescent="0.3"/>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9CAE7-29D1-4EE2-AC64-9194F1E3B24C}">
  <dimension ref="A1:I34"/>
  <sheetViews>
    <sheetView tabSelected="1" workbookViewId="0">
      <selection activeCell="B17" sqref="B17:B18"/>
    </sheetView>
  </sheetViews>
  <sheetFormatPr defaultRowHeight="14.4" x14ac:dyDescent="0.3"/>
  <cols>
    <col min="1" max="1" width="17.44140625" bestFit="1" customWidth="1"/>
    <col min="2" max="2" width="12.6640625" bestFit="1" customWidth="1"/>
    <col min="3" max="3" width="13.44140625" bestFit="1" customWidth="1"/>
    <col min="4" max="4" width="12.6640625" bestFit="1" customWidth="1"/>
    <col min="5" max="5" width="12" bestFit="1" customWidth="1"/>
    <col min="6" max="6" width="12.6640625" bestFit="1" customWidth="1"/>
    <col min="7" max="7" width="12" bestFit="1" customWidth="1"/>
    <col min="8" max="8" width="12.6640625" bestFit="1" customWidth="1"/>
    <col min="9" max="9" width="12.109375" bestFit="1" customWidth="1"/>
  </cols>
  <sheetData>
    <row r="1" spans="1:9" x14ac:dyDescent="0.3">
      <c r="A1" t="s">
        <v>29</v>
      </c>
    </row>
    <row r="2" spans="1:9" ht="15" thickBot="1" x14ac:dyDescent="0.35"/>
    <row r="3" spans="1:9" x14ac:dyDescent="0.3">
      <c r="A3" s="23" t="s">
        <v>30</v>
      </c>
      <c r="B3" s="23"/>
    </row>
    <row r="4" spans="1:9" x14ac:dyDescent="0.3">
      <c r="A4" s="20" t="s">
        <v>31</v>
      </c>
      <c r="B4" s="20">
        <v>0.8538222170526063</v>
      </c>
    </row>
    <row r="5" spans="1:9" x14ac:dyDescent="0.3">
      <c r="A5" s="20" t="s">
        <v>32</v>
      </c>
      <c r="B5" s="20">
        <v>0.729012378332628</v>
      </c>
    </row>
    <row r="6" spans="1:9" x14ac:dyDescent="0.3">
      <c r="A6" s="20" t="s">
        <v>33</v>
      </c>
      <c r="B6" s="20">
        <v>0.69513892562420654</v>
      </c>
    </row>
    <row r="7" spans="1:9" x14ac:dyDescent="0.3">
      <c r="A7" s="20" t="s">
        <v>34</v>
      </c>
      <c r="B7" s="20">
        <v>124.69127793540922</v>
      </c>
    </row>
    <row r="8" spans="1:9" ht="15" thickBot="1" x14ac:dyDescent="0.35">
      <c r="A8" s="21" t="s">
        <v>35</v>
      </c>
      <c r="B8" s="21">
        <v>10</v>
      </c>
    </row>
    <row r="10" spans="1:9" ht="15" thickBot="1" x14ac:dyDescent="0.35">
      <c r="A10" t="s">
        <v>36</v>
      </c>
    </row>
    <row r="11" spans="1:9" x14ac:dyDescent="0.3">
      <c r="A11" s="22"/>
      <c r="B11" s="22" t="s">
        <v>41</v>
      </c>
      <c r="C11" s="22" t="s">
        <v>42</v>
      </c>
      <c r="D11" s="22" t="s">
        <v>43</v>
      </c>
      <c r="E11" s="22" t="s">
        <v>44</v>
      </c>
      <c r="F11" s="22" t="s">
        <v>45</v>
      </c>
    </row>
    <row r="12" spans="1:9" x14ac:dyDescent="0.3">
      <c r="A12" s="20" t="s">
        <v>37</v>
      </c>
      <c r="B12" s="20">
        <v>1</v>
      </c>
      <c r="C12" s="20">
        <v>334616.68165467627</v>
      </c>
      <c r="D12" s="20">
        <v>334616.68165467627</v>
      </c>
      <c r="E12" s="20">
        <v>21.52164364843102</v>
      </c>
      <c r="F12" s="20">
        <v>1.6680717716444529E-3</v>
      </c>
    </row>
    <row r="13" spans="1:9" x14ac:dyDescent="0.3">
      <c r="A13" s="20" t="s">
        <v>38</v>
      </c>
      <c r="B13" s="20">
        <v>8</v>
      </c>
      <c r="C13" s="20">
        <v>124383.31834532374</v>
      </c>
      <c r="D13" s="20">
        <v>15547.914793165468</v>
      </c>
      <c r="E13" s="20"/>
      <c r="F13" s="20"/>
    </row>
    <row r="14" spans="1:9" ht="15" thickBot="1" x14ac:dyDescent="0.35">
      <c r="A14" s="21" t="s">
        <v>39</v>
      </c>
      <c r="B14" s="21">
        <v>9</v>
      </c>
      <c r="C14" s="21">
        <v>459000</v>
      </c>
      <c r="D14" s="21"/>
      <c r="E14" s="21"/>
      <c r="F14" s="21"/>
    </row>
    <row r="15" spans="1:9" ht="15" thickBot="1" x14ac:dyDescent="0.35"/>
    <row r="16" spans="1:9" x14ac:dyDescent="0.3">
      <c r="A16" s="22"/>
      <c r="B16" s="22" t="s">
        <v>46</v>
      </c>
      <c r="C16" s="22" t="s">
        <v>34</v>
      </c>
      <c r="D16" s="22" t="s">
        <v>47</v>
      </c>
      <c r="E16" s="22" t="s">
        <v>48</v>
      </c>
      <c r="F16" s="22" t="s">
        <v>49</v>
      </c>
      <c r="G16" s="22" t="s">
        <v>50</v>
      </c>
      <c r="H16" s="22" t="s">
        <v>51</v>
      </c>
      <c r="I16" s="22" t="s">
        <v>52</v>
      </c>
    </row>
    <row r="17" spans="1:9" x14ac:dyDescent="0.3">
      <c r="A17" s="20" t="s">
        <v>40</v>
      </c>
      <c r="B17" s="20">
        <v>-27.792266187050473</v>
      </c>
      <c r="C17" s="20">
        <v>132.69659511431928</v>
      </c>
      <c r="D17" s="20">
        <v>-0.20944219528095043</v>
      </c>
      <c r="E17" s="20">
        <v>0.83933814830246289</v>
      </c>
      <c r="F17" s="20">
        <v>-333.79116324818381</v>
      </c>
      <c r="G17" s="20">
        <v>278.20663087408286</v>
      </c>
      <c r="H17" s="20">
        <v>-333.79116324818381</v>
      </c>
      <c r="I17" s="20">
        <v>278.20663087408286</v>
      </c>
    </row>
    <row r="18" spans="1:9" ht="15" thickBot="1" x14ac:dyDescent="0.35">
      <c r="A18" s="21" t="s">
        <v>53</v>
      </c>
      <c r="B18" s="21">
        <v>0.14163669064748205</v>
      </c>
      <c r="C18" s="21">
        <v>3.0530790756915116E-2</v>
      </c>
      <c r="D18" s="21">
        <v>4.6391425553038399</v>
      </c>
      <c r="E18" s="21">
        <v>1.6680717716444499E-3</v>
      </c>
      <c r="F18" s="21">
        <v>7.1232560910982623E-2</v>
      </c>
      <c r="G18" s="21">
        <v>0.21204082038398148</v>
      </c>
      <c r="H18" s="21">
        <v>7.1232560910982623E-2</v>
      </c>
      <c r="I18" s="21">
        <v>0.21204082038398148</v>
      </c>
    </row>
    <row r="22" spans="1:9" x14ac:dyDescent="0.3">
      <c r="A22" t="s">
        <v>58</v>
      </c>
    </row>
    <row r="23" spans="1:9" ht="15" thickBot="1" x14ac:dyDescent="0.35"/>
    <row r="24" spans="1:9" x14ac:dyDescent="0.3">
      <c r="A24" s="22" t="s">
        <v>59</v>
      </c>
      <c r="B24" s="22" t="s">
        <v>60</v>
      </c>
      <c r="C24" s="22" t="s">
        <v>61</v>
      </c>
    </row>
    <row r="25" spans="1:9" x14ac:dyDescent="0.3">
      <c r="A25" s="20">
        <v>1</v>
      </c>
      <c r="B25" s="20">
        <v>212.99010791366902</v>
      </c>
      <c r="C25" s="20">
        <v>37.009892086330979</v>
      </c>
    </row>
    <row r="26" spans="1:9" x14ac:dyDescent="0.3">
      <c r="A26" s="20">
        <v>2</v>
      </c>
      <c r="B26" s="20">
        <v>737.04586330935263</v>
      </c>
      <c r="C26" s="20">
        <v>112.95413669064737</v>
      </c>
    </row>
    <row r="27" spans="1:9" x14ac:dyDescent="0.3">
      <c r="A27" s="20">
        <v>3</v>
      </c>
      <c r="B27" s="20">
        <v>425.4451438848921</v>
      </c>
      <c r="C27" s="20">
        <v>124.5548561151079</v>
      </c>
    </row>
    <row r="28" spans="1:9" x14ac:dyDescent="0.3">
      <c r="A28" s="20">
        <v>4</v>
      </c>
      <c r="B28" s="20">
        <v>595.40917266187057</v>
      </c>
      <c r="C28" s="20">
        <v>-195.40917266187057</v>
      </c>
    </row>
    <row r="29" spans="1:9" x14ac:dyDescent="0.3">
      <c r="A29" s="20">
        <v>5</v>
      </c>
      <c r="B29" s="20">
        <v>673.30935251798564</v>
      </c>
      <c r="C29" s="20">
        <v>26.690647482014356</v>
      </c>
    </row>
    <row r="30" spans="1:9" x14ac:dyDescent="0.3">
      <c r="A30" s="20">
        <v>6</v>
      </c>
      <c r="B30" s="20">
        <v>333.38129496402877</v>
      </c>
      <c r="C30" s="20">
        <v>-83.381294964028768</v>
      </c>
    </row>
    <row r="31" spans="1:9" x14ac:dyDescent="0.3">
      <c r="A31" s="20">
        <v>7</v>
      </c>
      <c r="B31" s="20">
        <v>482.09982014388493</v>
      </c>
      <c r="C31" s="20">
        <v>117.90017985611507</v>
      </c>
    </row>
    <row r="32" spans="1:9" x14ac:dyDescent="0.3">
      <c r="A32" s="20">
        <v>8</v>
      </c>
      <c r="B32" s="20">
        <v>822.02787769784186</v>
      </c>
      <c r="C32" s="20">
        <v>77.972122302158141</v>
      </c>
    </row>
    <row r="33" spans="1:3" x14ac:dyDescent="0.3">
      <c r="A33" s="20">
        <v>9</v>
      </c>
      <c r="B33" s="20">
        <v>609.57284172661878</v>
      </c>
      <c r="C33" s="20">
        <v>-159.57284172661878</v>
      </c>
    </row>
    <row r="34" spans="1:3" ht="15" thickBot="1" x14ac:dyDescent="0.35">
      <c r="A34" s="21">
        <v>10</v>
      </c>
      <c r="B34" s="21">
        <v>708.71852517985621</v>
      </c>
      <c r="C34" s="21">
        <v>-58.718525179856215</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L35"/>
  <sheetViews>
    <sheetView showGridLines="0" zoomScale="85" zoomScaleNormal="85" workbookViewId="0">
      <selection activeCell="D23" sqref="D23:D24"/>
    </sheetView>
  </sheetViews>
  <sheetFormatPr defaultRowHeight="14.4" x14ac:dyDescent="0.3"/>
  <cols>
    <col min="1" max="1" width="9.88671875" bestFit="1" customWidth="1"/>
    <col min="2" max="2" width="14.44140625" bestFit="1" customWidth="1"/>
    <col min="3" max="3" width="15.44140625" bestFit="1" customWidth="1"/>
    <col min="4" max="4" width="15.44140625" customWidth="1"/>
    <col min="5" max="5" width="21.21875" customWidth="1"/>
    <col min="6" max="6" width="16.88671875" bestFit="1" customWidth="1"/>
    <col min="7" max="7" width="20.33203125" bestFit="1" customWidth="1"/>
    <col min="8" max="8" width="17" bestFit="1" customWidth="1"/>
    <col min="9" max="9" width="16.88671875" bestFit="1" customWidth="1"/>
    <col min="10" max="10" width="7.44140625" bestFit="1" customWidth="1"/>
    <col min="11" max="11" width="26" bestFit="1" customWidth="1"/>
    <col min="12" max="12" width="21" style="25" bestFit="1" customWidth="1"/>
  </cols>
  <sheetData>
    <row r="1" spans="1:12" s="9" customFormat="1" ht="16.5" customHeight="1" x14ac:dyDescent="0.3">
      <c r="B1" s="9" t="s">
        <v>12</v>
      </c>
      <c r="C1" s="9" t="s">
        <v>13</v>
      </c>
      <c r="D1" s="9" t="s">
        <v>14</v>
      </c>
      <c r="E1" s="9" t="s">
        <v>17</v>
      </c>
      <c r="F1" s="9" t="s">
        <v>18</v>
      </c>
      <c r="G1" s="9" t="s">
        <v>4</v>
      </c>
      <c r="H1" s="9" t="s">
        <v>19</v>
      </c>
      <c r="I1" s="9" t="s">
        <v>24</v>
      </c>
      <c r="J1" s="9" t="s">
        <v>26</v>
      </c>
      <c r="K1" s="9" t="s">
        <v>25</v>
      </c>
      <c r="L1" s="25"/>
    </row>
    <row r="2" spans="1:12" s="9" customFormat="1" x14ac:dyDescent="0.3">
      <c r="A2" s="9" t="s">
        <v>0</v>
      </c>
      <c r="B2" s="9" t="s">
        <v>7</v>
      </c>
      <c r="C2" s="9" t="s">
        <v>1</v>
      </c>
      <c r="D2" s="9" t="s">
        <v>10</v>
      </c>
      <c r="E2" s="9" t="s">
        <v>16</v>
      </c>
      <c r="F2" s="9" t="s">
        <v>11</v>
      </c>
      <c r="G2" s="9" t="s">
        <v>15</v>
      </c>
      <c r="H2" s="9" t="s">
        <v>20</v>
      </c>
      <c r="I2" s="9" t="s">
        <v>23</v>
      </c>
      <c r="K2" s="9" t="s">
        <v>27</v>
      </c>
      <c r="L2" s="25"/>
    </row>
    <row r="3" spans="1:12" s="2" customFormat="1" x14ac:dyDescent="0.3">
      <c r="A3" s="2">
        <v>1</v>
      </c>
      <c r="B3" s="3">
        <v>1700</v>
      </c>
      <c r="C3" s="3">
        <v>250</v>
      </c>
      <c r="D3" s="3">
        <f>B3-$B$13</f>
        <v>-2450</v>
      </c>
      <c r="E3" s="3">
        <f>D3^2</f>
        <v>6002500</v>
      </c>
      <c r="F3" s="3">
        <f t="shared" ref="F3:F12" si="0">C3-$C$13</f>
        <v>-310</v>
      </c>
      <c r="G3" s="4">
        <f>F3^2</f>
        <v>96100</v>
      </c>
      <c r="H3" s="4">
        <f>D3*F3</f>
        <v>759500</v>
      </c>
      <c r="I3" s="14">
        <f>$D$23*B3+$D$24</f>
        <v>212.99010791366908</v>
      </c>
      <c r="J3" s="3">
        <f>$C$13-I3</f>
        <v>347.00989208633092</v>
      </c>
      <c r="K3" s="3">
        <f>J3^2</f>
        <v>120415.86520576703</v>
      </c>
      <c r="L3" s="25"/>
    </row>
    <row r="4" spans="1:12" s="2" customFormat="1" x14ac:dyDescent="0.3">
      <c r="A4" s="2">
        <v>2</v>
      </c>
      <c r="B4" s="3">
        <v>5400</v>
      </c>
      <c r="C4" s="3">
        <v>850</v>
      </c>
      <c r="D4" s="3">
        <f t="shared" ref="D4:D12" si="1">B4-$B$13</f>
        <v>1250</v>
      </c>
      <c r="E4" s="3">
        <f t="shared" ref="E4:E12" si="2">D4^2</f>
        <v>1562500</v>
      </c>
      <c r="F4" s="3">
        <f t="shared" si="0"/>
        <v>290</v>
      </c>
      <c r="G4" s="4">
        <f t="shared" ref="G4:G12" si="3">F4^2</f>
        <v>84100</v>
      </c>
      <c r="H4" s="4">
        <f t="shared" ref="H4:H12" si="4">D4*F4</f>
        <v>362500</v>
      </c>
      <c r="I4" s="14">
        <f t="shared" ref="I4:I12" si="5">$D$23*B4+$D$24</f>
        <v>737.04586330935251</v>
      </c>
      <c r="J4" s="3">
        <f t="shared" ref="J4:J12" si="6">$C$13-I4</f>
        <v>-177.04586330935251</v>
      </c>
      <c r="K4" s="3">
        <f t="shared" ref="K4:K12" si="7">J4^2</f>
        <v>31345.237714953935</v>
      </c>
      <c r="L4" s="25"/>
    </row>
    <row r="5" spans="1:12" s="2" customFormat="1" x14ac:dyDescent="0.3">
      <c r="A5" s="2">
        <v>3</v>
      </c>
      <c r="B5" s="3">
        <v>3200</v>
      </c>
      <c r="C5" s="3">
        <v>550</v>
      </c>
      <c r="D5" s="3">
        <f t="shared" si="1"/>
        <v>-950</v>
      </c>
      <c r="E5" s="3">
        <f t="shared" si="2"/>
        <v>902500</v>
      </c>
      <c r="F5" s="3">
        <f t="shared" si="0"/>
        <v>-10</v>
      </c>
      <c r="G5" s="4">
        <f t="shared" si="3"/>
        <v>100</v>
      </c>
      <c r="H5" s="4">
        <f t="shared" si="4"/>
        <v>9500</v>
      </c>
      <c r="I5" s="14">
        <f t="shared" si="5"/>
        <v>425.4451438848921</v>
      </c>
      <c r="J5" s="3">
        <f t="shared" si="6"/>
        <v>134.5548561151079</v>
      </c>
      <c r="K5" s="3">
        <f t="shared" si="7"/>
        <v>18105.009304157389</v>
      </c>
      <c r="L5" s="25"/>
    </row>
    <row r="6" spans="1:12" s="2" customFormat="1" x14ac:dyDescent="0.3">
      <c r="A6" s="2">
        <v>4</v>
      </c>
      <c r="B6" s="3">
        <v>4400</v>
      </c>
      <c r="C6" s="3">
        <v>400</v>
      </c>
      <c r="D6" s="3">
        <f t="shared" si="1"/>
        <v>250</v>
      </c>
      <c r="E6" s="3">
        <f t="shared" si="2"/>
        <v>62500</v>
      </c>
      <c r="F6" s="3">
        <f t="shared" si="0"/>
        <v>-160</v>
      </c>
      <c r="G6" s="4">
        <f t="shared" si="3"/>
        <v>25600</v>
      </c>
      <c r="H6" s="4">
        <f t="shared" si="4"/>
        <v>-40000</v>
      </c>
      <c r="I6" s="14">
        <f t="shared" si="5"/>
        <v>595.40917266187057</v>
      </c>
      <c r="J6" s="3">
        <f t="shared" si="6"/>
        <v>-35.409172661870571</v>
      </c>
      <c r="K6" s="3">
        <f t="shared" si="7"/>
        <v>1253.8095085981622</v>
      </c>
      <c r="L6" s="25"/>
    </row>
    <row r="7" spans="1:12" s="2" customFormat="1" x14ac:dyDescent="0.3">
      <c r="A7" s="2">
        <v>5</v>
      </c>
      <c r="B7" s="3">
        <v>4950</v>
      </c>
      <c r="C7" s="3">
        <v>700</v>
      </c>
      <c r="D7" s="3">
        <f t="shared" si="1"/>
        <v>800</v>
      </c>
      <c r="E7" s="3">
        <f t="shared" si="2"/>
        <v>640000</v>
      </c>
      <c r="F7" s="3">
        <f t="shared" si="0"/>
        <v>140</v>
      </c>
      <c r="G7" s="4">
        <f t="shared" si="3"/>
        <v>19600</v>
      </c>
      <c r="H7" s="4">
        <f t="shared" si="4"/>
        <v>112000</v>
      </c>
      <c r="I7" s="14">
        <f t="shared" si="5"/>
        <v>673.30935251798564</v>
      </c>
      <c r="J7" s="3">
        <f t="shared" si="6"/>
        <v>-113.30935251798564</v>
      </c>
      <c r="K7" s="3">
        <f t="shared" si="7"/>
        <v>12839.009368045139</v>
      </c>
      <c r="L7" s="25"/>
    </row>
    <row r="8" spans="1:12" s="2" customFormat="1" x14ac:dyDescent="0.3">
      <c r="A8" s="2">
        <v>6</v>
      </c>
      <c r="B8" s="3">
        <v>2550</v>
      </c>
      <c r="C8" s="3">
        <v>250</v>
      </c>
      <c r="D8" s="3">
        <f t="shared" si="1"/>
        <v>-1600</v>
      </c>
      <c r="E8" s="3">
        <f t="shared" si="2"/>
        <v>2560000</v>
      </c>
      <c r="F8" s="3">
        <f t="shared" si="0"/>
        <v>-310</v>
      </c>
      <c r="G8" s="4">
        <f t="shared" si="3"/>
        <v>96100</v>
      </c>
      <c r="H8" s="4">
        <f t="shared" si="4"/>
        <v>496000</v>
      </c>
      <c r="I8" s="14">
        <f t="shared" si="5"/>
        <v>333.38129496402883</v>
      </c>
      <c r="J8" s="3">
        <f t="shared" si="6"/>
        <v>226.61870503597117</v>
      </c>
      <c r="K8" s="3">
        <f t="shared" si="7"/>
        <v>51356.037472180506</v>
      </c>
      <c r="L8" s="25"/>
    </row>
    <row r="9" spans="1:12" s="2" customFormat="1" x14ac:dyDescent="0.3">
      <c r="A9" s="2">
        <v>7</v>
      </c>
      <c r="B9" s="3">
        <v>3600</v>
      </c>
      <c r="C9" s="3">
        <v>600</v>
      </c>
      <c r="D9" s="3">
        <f t="shared" si="1"/>
        <v>-550</v>
      </c>
      <c r="E9" s="3">
        <f t="shared" si="2"/>
        <v>302500</v>
      </c>
      <c r="F9" s="3">
        <f t="shared" si="0"/>
        <v>40</v>
      </c>
      <c r="G9" s="4">
        <f t="shared" si="3"/>
        <v>1600</v>
      </c>
      <c r="H9" s="4">
        <f t="shared" si="4"/>
        <v>-22000</v>
      </c>
      <c r="I9" s="14">
        <f t="shared" si="5"/>
        <v>482.09982014388493</v>
      </c>
      <c r="J9" s="3">
        <f t="shared" si="6"/>
        <v>77.900179856115074</v>
      </c>
      <c r="K9" s="3">
        <f t="shared" si="7"/>
        <v>6068.4380216150767</v>
      </c>
      <c r="L9" s="25"/>
    </row>
    <row r="10" spans="1:12" s="2" customFormat="1" x14ac:dyDescent="0.3">
      <c r="A10" s="2">
        <v>8</v>
      </c>
      <c r="B10" s="3">
        <v>6000</v>
      </c>
      <c r="C10" s="3">
        <v>900</v>
      </c>
      <c r="D10" s="3">
        <f t="shared" si="1"/>
        <v>1850</v>
      </c>
      <c r="E10" s="3">
        <f t="shared" si="2"/>
        <v>3422500</v>
      </c>
      <c r="F10" s="3">
        <f t="shared" si="0"/>
        <v>340</v>
      </c>
      <c r="G10" s="4">
        <f t="shared" si="3"/>
        <v>115600</v>
      </c>
      <c r="H10" s="4">
        <f t="shared" si="4"/>
        <v>629000</v>
      </c>
      <c r="I10" s="14">
        <f t="shared" si="5"/>
        <v>822.02787769784175</v>
      </c>
      <c r="J10" s="3">
        <f t="shared" si="6"/>
        <v>-262.02787769784175</v>
      </c>
      <c r="K10" s="3">
        <f t="shared" si="7"/>
        <v>68658.608690835114</v>
      </c>
      <c r="L10" s="25"/>
    </row>
    <row r="11" spans="1:12" s="2" customFormat="1" x14ac:dyDescent="0.3">
      <c r="A11" s="2">
        <v>9</v>
      </c>
      <c r="B11" s="3">
        <v>4500</v>
      </c>
      <c r="C11" s="3">
        <v>450</v>
      </c>
      <c r="D11" s="3">
        <f t="shared" si="1"/>
        <v>350</v>
      </c>
      <c r="E11" s="3">
        <f t="shared" si="2"/>
        <v>122500</v>
      </c>
      <c r="F11" s="3">
        <f t="shared" si="0"/>
        <v>-110</v>
      </c>
      <c r="G11" s="4">
        <f t="shared" si="3"/>
        <v>12100</v>
      </c>
      <c r="H11" s="4">
        <f>D11*F11</f>
        <v>-38500</v>
      </c>
      <c r="I11" s="14">
        <f t="shared" si="5"/>
        <v>609.57284172661878</v>
      </c>
      <c r="J11" s="3">
        <f t="shared" si="6"/>
        <v>-49.572841726618776</v>
      </c>
      <c r="K11" s="3">
        <f t="shared" si="7"/>
        <v>2457.4666368523958</v>
      </c>
      <c r="L11" s="25"/>
    </row>
    <row r="12" spans="1:12" s="2" customFormat="1" x14ac:dyDescent="0.3">
      <c r="A12" s="2">
        <v>10</v>
      </c>
      <c r="B12" s="3">
        <v>5200</v>
      </c>
      <c r="C12" s="3">
        <v>650</v>
      </c>
      <c r="D12" s="3">
        <f t="shared" si="1"/>
        <v>1050</v>
      </c>
      <c r="E12" s="3">
        <f t="shared" si="2"/>
        <v>1102500</v>
      </c>
      <c r="F12" s="3">
        <f t="shared" si="0"/>
        <v>90</v>
      </c>
      <c r="G12" s="4">
        <f t="shared" si="3"/>
        <v>8100</v>
      </c>
      <c r="H12" s="4">
        <f t="shared" si="4"/>
        <v>94500</v>
      </c>
      <c r="I12" s="14">
        <f t="shared" si="5"/>
        <v>708.7185251798561</v>
      </c>
      <c r="J12" s="3">
        <f t="shared" si="6"/>
        <v>-148.7185251798561</v>
      </c>
      <c r="K12" s="3">
        <f t="shared" si="7"/>
        <v>22117.199731671491</v>
      </c>
      <c r="L12" s="25"/>
    </row>
    <row r="13" spans="1:12" s="9" customFormat="1" x14ac:dyDescent="0.3">
      <c r="B13" s="15">
        <f>AVERAGE(B3:B12)</f>
        <v>4150</v>
      </c>
      <c r="C13" s="15">
        <f>AVERAGE(C3:C12)</f>
        <v>560</v>
      </c>
      <c r="D13" s="15"/>
      <c r="E13" s="15">
        <f>SUM(E3:E12)</f>
        <v>16680000</v>
      </c>
      <c r="F13" s="7"/>
      <c r="G13" s="8">
        <f>SUM(G3:G12)</f>
        <v>459000</v>
      </c>
      <c r="H13" s="8">
        <f>SUM(H3:H12)</f>
        <v>2362500</v>
      </c>
      <c r="K13" s="7">
        <f>SUM(K3:K12)</f>
        <v>334616.68165467627</v>
      </c>
      <c r="L13" s="25"/>
    </row>
    <row r="14" spans="1:12" s="2" customFormat="1" x14ac:dyDescent="0.3">
      <c r="B14" s="16" t="s">
        <v>8</v>
      </c>
      <c r="C14" s="16" t="s">
        <v>9</v>
      </c>
      <c r="D14" s="16"/>
      <c r="E14" s="16"/>
      <c r="G14" s="10" t="s">
        <v>5</v>
      </c>
      <c r="L14" s="26"/>
    </row>
    <row r="15" spans="1:12" s="2" customFormat="1" x14ac:dyDescent="0.3">
      <c r="G15" s="17" t="s">
        <v>6</v>
      </c>
      <c r="L15" s="26"/>
    </row>
    <row r="16" spans="1:12" s="2" customFormat="1" x14ac:dyDescent="0.3">
      <c r="G16" s="10"/>
      <c r="L16" s="26"/>
    </row>
    <row r="17" spans="3:12" s="2" customFormat="1" x14ac:dyDescent="0.3">
      <c r="G17" s="10"/>
      <c r="L17" s="26"/>
    </row>
    <row r="18" spans="3:12" s="2" customFormat="1" x14ac:dyDescent="0.3">
      <c r="L18" s="26"/>
    </row>
    <row r="19" spans="3:12" s="2" customFormat="1" x14ac:dyDescent="0.3">
      <c r="L19" s="26"/>
    </row>
    <row r="20" spans="3:12" s="2" customFormat="1" x14ac:dyDescent="0.3">
      <c r="L20" s="26"/>
    </row>
    <row r="21" spans="3:12" s="2" customFormat="1" x14ac:dyDescent="0.3">
      <c r="L21" s="26"/>
    </row>
    <row r="23" spans="3:12" x14ac:dyDescent="0.3">
      <c r="C23" s="12" t="s">
        <v>21</v>
      </c>
      <c r="D23" s="13">
        <f>H13/E13</f>
        <v>0.14163669064748202</v>
      </c>
    </row>
    <row r="24" spans="3:12" x14ac:dyDescent="0.3">
      <c r="C24" s="12" t="s">
        <v>22</v>
      </c>
      <c r="D24" s="32">
        <f>C13-D23*B13</f>
        <v>-27.792266187050359</v>
      </c>
    </row>
    <row r="28" spans="3:12" x14ac:dyDescent="0.3">
      <c r="C28" s="1">
        <f>G13</f>
        <v>459000</v>
      </c>
      <c r="D28" s="1">
        <f>K13</f>
        <v>334616.68165467627</v>
      </c>
      <c r="E28" s="11" t="s">
        <v>27</v>
      </c>
    </row>
    <row r="29" spans="3:12" x14ac:dyDescent="0.3">
      <c r="D29" s="1">
        <f>C28-D28</f>
        <v>124383.31834532373</v>
      </c>
      <c r="E29" s="11" t="s">
        <v>28</v>
      </c>
    </row>
    <row r="35" spans="4:5" x14ac:dyDescent="0.3">
      <c r="D35" s="18">
        <f>K13/G13</f>
        <v>0.729012378332628</v>
      </c>
      <c r="E35" s="19">
        <f>D35</f>
        <v>0.729012378332628</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36468-55F4-477E-B074-1B0ADA935417}">
  <dimension ref="A1:V24"/>
  <sheetViews>
    <sheetView showGridLines="0" workbookViewId="0">
      <selection activeCell="D23" sqref="D23"/>
    </sheetView>
  </sheetViews>
  <sheetFormatPr defaultRowHeight="14.4" x14ac:dyDescent="0.3"/>
  <cols>
    <col min="1" max="1" width="5.77734375" bestFit="1" customWidth="1"/>
    <col min="2" max="2" width="8.21875" bestFit="1" customWidth="1"/>
    <col min="3" max="3" width="7.5546875" bestFit="1" customWidth="1"/>
    <col min="4" max="4" width="8" bestFit="1" customWidth="1"/>
    <col min="5" max="5" width="10" bestFit="1" customWidth="1"/>
    <col min="6" max="6" width="7.21875" bestFit="1" customWidth="1"/>
    <col min="7" max="7" width="12.5546875" bestFit="1" customWidth="1"/>
    <col min="8" max="8" width="14" bestFit="1" customWidth="1"/>
    <col min="9" max="9" width="4.77734375" bestFit="1" customWidth="1"/>
    <col min="10" max="10" width="5.77734375" bestFit="1" customWidth="1"/>
    <col min="11" max="11" width="8.109375" bestFit="1" customWidth="1"/>
  </cols>
  <sheetData>
    <row r="1" spans="1:22" s="11" customFormat="1" x14ac:dyDescent="0.3">
      <c r="A1" s="9" t="s">
        <v>55</v>
      </c>
      <c r="B1" s="9" t="s">
        <v>56</v>
      </c>
      <c r="C1" s="9" t="s">
        <v>57</v>
      </c>
      <c r="D1" s="9" t="s">
        <v>14</v>
      </c>
      <c r="E1" s="9" t="s">
        <v>17</v>
      </c>
      <c r="F1" s="9" t="s">
        <v>18</v>
      </c>
      <c r="G1" s="9" t="s">
        <v>4</v>
      </c>
      <c r="H1" s="9" t="s">
        <v>19</v>
      </c>
      <c r="I1" s="9" t="s">
        <v>24</v>
      </c>
      <c r="J1" s="9" t="s">
        <v>26</v>
      </c>
      <c r="K1" s="9" t="s">
        <v>25</v>
      </c>
      <c r="L1" s="9"/>
      <c r="M1" s="9"/>
      <c r="N1" s="9"/>
      <c r="O1" s="9"/>
      <c r="P1" s="9"/>
      <c r="Q1" s="9"/>
      <c r="R1" s="9"/>
      <c r="S1" s="9"/>
      <c r="T1" s="9"/>
      <c r="U1" s="9"/>
      <c r="V1" s="9"/>
    </row>
    <row r="2" spans="1:22" x14ac:dyDescent="0.3">
      <c r="A2" s="2">
        <v>1</v>
      </c>
      <c r="B2" s="2">
        <v>6</v>
      </c>
      <c r="C2" s="2">
        <v>526</v>
      </c>
      <c r="D2" s="30">
        <f>B2-$B$14</f>
        <v>0</v>
      </c>
      <c r="E2" s="2">
        <f>D2^2</f>
        <v>0</v>
      </c>
      <c r="F2" s="30">
        <f>C2-$C$14</f>
        <v>10.583333333333371</v>
      </c>
      <c r="G2" s="30">
        <f>F2^2</f>
        <v>112.00694444444525</v>
      </c>
      <c r="H2" s="2">
        <f>D2*F2</f>
        <v>0</v>
      </c>
      <c r="I2" s="2">
        <f>$D$23*B2+$D$24</f>
        <v>515.41666666666663</v>
      </c>
      <c r="J2" s="2">
        <f>$C$13-I2</f>
        <v>156.58333333333337</v>
      </c>
      <c r="K2" s="2">
        <f>J2^2</f>
        <v>24518.340277777788</v>
      </c>
      <c r="L2" s="2"/>
      <c r="M2" s="2"/>
      <c r="N2" s="2"/>
      <c r="O2" s="2"/>
      <c r="P2" s="2"/>
      <c r="Q2" s="2"/>
      <c r="R2" s="2"/>
      <c r="S2" s="2"/>
      <c r="T2" s="2"/>
      <c r="U2" s="2"/>
      <c r="V2" s="2"/>
    </row>
    <row r="3" spans="1:22" x14ac:dyDescent="0.3">
      <c r="A3" s="2">
        <v>2</v>
      </c>
      <c r="B3" s="2">
        <v>3</v>
      </c>
      <c r="C3" s="2">
        <v>421</v>
      </c>
      <c r="D3" s="30">
        <f t="shared" ref="D3:D13" si="0">B3-$B$14</f>
        <v>-3</v>
      </c>
      <c r="E3" s="2">
        <f t="shared" ref="E3:E9" si="1">D3^2</f>
        <v>9</v>
      </c>
      <c r="F3" s="30">
        <f t="shared" ref="F3:F13" si="2">C3-$C$14</f>
        <v>-94.416666666666629</v>
      </c>
      <c r="G3" s="30">
        <f t="shared" ref="G3:G9" si="3">F3^2</f>
        <v>8914.506944444438</v>
      </c>
      <c r="H3" s="2">
        <f t="shared" ref="H3:H9" si="4">D3*F3</f>
        <v>283.24999999999989</v>
      </c>
      <c r="I3" s="2">
        <f t="shared" ref="I3:I9" si="5">$D$23*B3+$D$24</f>
        <v>411.66666666666663</v>
      </c>
      <c r="J3" s="2">
        <f t="shared" ref="J3:J9" si="6">$C$13-I3</f>
        <v>260.33333333333337</v>
      </c>
      <c r="K3" s="2">
        <f t="shared" ref="K3:K9" si="7">J3^2</f>
        <v>67773.444444444467</v>
      </c>
      <c r="L3" s="2"/>
      <c r="M3" s="2"/>
      <c r="N3" s="2"/>
      <c r="O3" s="2"/>
      <c r="P3" s="2"/>
      <c r="Q3" s="2"/>
      <c r="R3" s="2"/>
      <c r="S3" s="2"/>
      <c r="T3" s="2"/>
      <c r="U3" s="2"/>
      <c r="V3" s="2"/>
    </row>
    <row r="4" spans="1:22" x14ac:dyDescent="0.3">
      <c r="A4" s="2">
        <v>3</v>
      </c>
      <c r="B4" s="2">
        <v>6</v>
      </c>
      <c r="C4" s="2">
        <v>581</v>
      </c>
      <c r="D4" s="30">
        <f t="shared" si="0"/>
        <v>0</v>
      </c>
      <c r="E4" s="2">
        <f t="shared" si="1"/>
        <v>0</v>
      </c>
      <c r="F4" s="30">
        <f t="shared" si="2"/>
        <v>65.583333333333371</v>
      </c>
      <c r="G4" s="30">
        <f t="shared" si="3"/>
        <v>4301.1736111111159</v>
      </c>
      <c r="H4" s="2">
        <f t="shared" si="4"/>
        <v>0</v>
      </c>
      <c r="I4" s="2">
        <f t="shared" si="5"/>
        <v>515.41666666666663</v>
      </c>
      <c r="J4" s="2">
        <f t="shared" si="6"/>
        <v>156.58333333333337</v>
      </c>
      <c r="K4" s="2">
        <f t="shared" si="7"/>
        <v>24518.340277777788</v>
      </c>
      <c r="L4" s="2"/>
      <c r="M4" s="2"/>
      <c r="N4" s="2"/>
      <c r="O4" s="2"/>
      <c r="P4" s="2"/>
      <c r="Q4" s="2"/>
      <c r="R4" s="2"/>
      <c r="S4" s="2"/>
      <c r="T4" s="2"/>
      <c r="U4" s="2"/>
      <c r="V4" s="2"/>
    </row>
    <row r="5" spans="1:22" x14ac:dyDescent="0.3">
      <c r="A5" s="2">
        <v>4</v>
      </c>
      <c r="B5" s="2">
        <v>9</v>
      </c>
      <c r="C5" s="2">
        <v>630</v>
      </c>
      <c r="D5" s="30">
        <f t="shared" si="0"/>
        <v>3</v>
      </c>
      <c r="E5" s="2">
        <f t="shared" si="1"/>
        <v>9</v>
      </c>
      <c r="F5" s="30">
        <f t="shared" si="2"/>
        <v>114.58333333333337</v>
      </c>
      <c r="G5" s="30">
        <f t="shared" si="3"/>
        <v>13129.340277777786</v>
      </c>
      <c r="H5" s="2">
        <f t="shared" si="4"/>
        <v>343.75000000000011</v>
      </c>
      <c r="I5" s="2">
        <f t="shared" si="5"/>
        <v>619.16666666666663</v>
      </c>
      <c r="J5" s="2">
        <f t="shared" si="6"/>
        <v>52.833333333333371</v>
      </c>
      <c r="K5" s="2">
        <f t="shared" si="7"/>
        <v>2791.361111111115</v>
      </c>
      <c r="L5" s="2"/>
      <c r="M5" s="2"/>
      <c r="N5" s="2"/>
      <c r="O5" s="2"/>
      <c r="P5" s="2"/>
      <c r="Q5" s="2"/>
      <c r="R5" s="2"/>
      <c r="S5" s="2"/>
      <c r="T5" s="2"/>
      <c r="U5" s="2"/>
      <c r="V5" s="2"/>
    </row>
    <row r="6" spans="1:22" x14ac:dyDescent="0.3">
      <c r="A6" s="2">
        <v>5</v>
      </c>
      <c r="B6" s="2">
        <v>3</v>
      </c>
      <c r="C6" s="2">
        <v>412</v>
      </c>
      <c r="D6" s="30">
        <f t="shared" si="0"/>
        <v>-3</v>
      </c>
      <c r="E6" s="2">
        <f t="shared" si="1"/>
        <v>9</v>
      </c>
      <c r="F6" s="30">
        <f t="shared" si="2"/>
        <v>-103.41666666666663</v>
      </c>
      <c r="G6" s="30">
        <f t="shared" si="3"/>
        <v>10695.006944444436</v>
      </c>
      <c r="H6" s="2">
        <f t="shared" si="4"/>
        <v>310.24999999999989</v>
      </c>
      <c r="I6" s="2">
        <f t="shared" si="5"/>
        <v>411.66666666666663</v>
      </c>
      <c r="J6" s="2">
        <f t="shared" si="6"/>
        <v>260.33333333333337</v>
      </c>
      <c r="K6" s="2">
        <f t="shared" si="7"/>
        <v>67773.444444444467</v>
      </c>
      <c r="L6" s="2"/>
      <c r="M6" s="2"/>
      <c r="N6" s="2"/>
      <c r="O6" s="2"/>
      <c r="P6" s="2"/>
      <c r="Q6" s="2"/>
      <c r="R6" s="2"/>
      <c r="S6" s="2"/>
      <c r="T6" s="2"/>
      <c r="U6" s="2"/>
      <c r="V6" s="2"/>
    </row>
    <row r="7" spans="1:22" x14ac:dyDescent="0.3">
      <c r="A7" s="2">
        <v>6</v>
      </c>
      <c r="B7" s="2">
        <v>9</v>
      </c>
      <c r="C7" s="2">
        <v>560</v>
      </c>
      <c r="D7" s="30">
        <f t="shared" si="0"/>
        <v>3</v>
      </c>
      <c r="E7" s="2">
        <f t="shared" si="1"/>
        <v>9</v>
      </c>
      <c r="F7" s="30">
        <f t="shared" si="2"/>
        <v>44.583333333333371</v>
      </c>
      <c r="G7" s="30">
        <f t="shared" si="3"/>
        <v>1987.6736111111145</v>
      </c>
      <c r="H7" s="2">
        <f t="shared" si="4"/>
        <v>133.75000000000011</v>
      </c>
      <c r="I7" s="2">
        <f t="shared" si="5"/>
        <v>619.16666666666663</v>
      </c>
      <c r="J7" s="2">
        <f t="shared" si="6"/>
        <v>52.833333333333371</v>
      </c>
      <c r="K7" s="2">
        <f t="shared" si="7"/>
        <v>2791.361111111115</v>
      </c>
      <c r="L7" s="2"/>
      <c r="M7" s="2"/>
      <c r="N7" s="2"/>
      <c r="O7" s="2"/>
      <c r="P7" s="2"/>
      <c r="Q7" s="2"/>
      <c r="R7" s="2"/>
      <c r="S7" s="2"/>
      <c r="T7" s="2"/>
      <c r="U7" s="2"/>
      <c r="V7" s="2"/>
    </row>
    <row r="8" spans="1:22" x14ac:dyDescent="0.3">
      <c r="A8" s="2">
        <v>7</v>
      </c>
      <c r="B8" s="2">
        <v>6</v>
      </c>
      <c r="C8" s="2">
        <v>434</v>
      </c>
      <c r="D8" s="30">
        <f t="shared" si="0"/>
        <v>0</v>
      </c>
      <c r="E8" s="2">
        <f t="shared" si="1"/>
        <v>0</v>
      </c>
      <c r="F8" s="30">
        <f t="shared" si="2"/>
        <v>-81.416666666666629</v>
      </c>
      <c r="G8" s="30">
        <f t="shared" si="3"/>
        <v>6628.6736111111049</v>
      </c>
      <c r="H8" s="2">
        <f t="shared" si="4"/>
        <v>0</v>
      </c>
      <c r="I8" s="2">
        <f t="shared" si="5"/>
        <v>515.41666666666663</v>
      </c>
      <c r="J8" s="2">
        <f t="shared" si="6"/>
        <v>156.58333333333337</v>
      </c>
      <c r="K8" s="2">
        <f t="shared" si="7"/>
        <v>24518.340277777788</v>
      </c>
      <c r="L8" s="2"/>
      <c r="M8" s="2"/>
      <c r="N8" s="2"/>
      <c r="O8" s="2"/>
      <c r="P8" s="2"/>
      <c r="Q8" s="2"/>
      <c r="R8" s="2"/>
      <c r="S8" s="2"/>
      <c r="T8" s="2"/>
      <c r="U8" s="2"/>
      <c r="V8" s="2"/>
    </row>
    <row r="9" spans="1:22" x14ac:dyDescent="0.3">
      <c r="A9" s="2">
        <v>8</v>
      </c>
      <c r="B9" s="2">
        <v>3</v>
      </c>
      <c r="C9" s="2">
        <v>443</v>
      </c>
      <c r="D9" s="30">
        <f t="shared" si="0"/>
        <v>-3</v>
      </c>
      <c r="E9" s="2">
        <f t="shared" si="1"/>
        <v>9</v>
      </c>
      <c r="F9" s="30">
        <f t="shared" si="2"/>
        <v>-72.416666666666629</v>
      </c>
      <c r="G9" s="30">
        <f t="shared" si="3"/>
        <v>5244.1736111111059</v>
      </c>
      <c r="H9" s="2">
        <f t="shared" si="4"/>
        <v>217.24999999999989</v>
      </c>
      <c r="I9" s="2">
        <f t="shared" si="5"/>
        <v>411.66666666666663</v>
      </c>
      <c r="J9" s="2">
        <f t="shared" si="6"/>
        <v>260.33333333333337</v>
      </c>
      <c r="K9" s="2">
        <f t="shared" si="7"/>
        <v>67773.444444444467</v>
      </c>
      <c r="L9" s="2"/>
      <c r="M9" s="2"/>
      <c r="N9" s="2"/>
      <c r="O9" s="2"/>
      <c r="P9" s="2"/>
      <c r="Q9" s="2"/>
      <c r="R9" s="2"/>
      <c r="S9" s="2"/>
      <c r="T9" s="2"/>
      <c r="U9" s="2"/>
      <c r="V9" s="2"/>
    </row>
    <row r="10" spans="1:22" x14ac:dyDescent="0.3">
      <c r="A10" s="2">
        <v>9</v>
      </c>
      <c r="B10" s="2">
        <v>9</v>
      </c>
      <c r="C10" s="2">
        <v>590</v>
      </c>
      <c r="D10" s="30">
        <f t="shared" si="0"/>
        <v>3</v>
      </c>
      <c r="E10" s="2">
        <f t="shared" ref="E10:E13" si="8">D10^2</f>
        <v>9</v>
      </c>
      <c r="F10" s="30">
        <f t="shared" si="2"/>
        <v>74.583333333333371</v>
      </c>
      <c r="G10" s="30">
        <f t="shared" ref="G10:G13" si="9">F10^2</f>
        <v>5562.6736111111168</v>
      </c>
      <c r="H10" s="2">
        <f t="shared" ref="H10:H13" si="10">D10*F10</f>
        <v>223.75000000000011</v>
      </c>
      <c r="I10" s="2">
        <f t="shared" ref="I10:I13" si="11">$D$23*B10+$D$24</f>
        <v>619.16666666666663</v>
      </c>
      <c r="J10" s="2">
        <f t="shared" ref="J10:J13" si="12">$C$13-I10</f>
        <v>52.833333333333371</v>
      </c>
      <c r="K10" s="2">
        <f t="shared" ref="K10:K13" si="13">J10^2</f>
        <v>2791.361111111115</v>
      </c>
      <c r="L10" s="2"/>
      <c r="M10" s="2"/>
      <c r="N10" s="2"/>
      <c r="O10" s="2"/>
      <c r="P10" s="2"/>
      <c r="Q10" s="2"/>
      <c r="R10" s="2"/>
      <c r="S10" s="2"/>
      <c r="T10" s="2"/>
      <c r="U10" s="2"/>
      <c r="V10" s="2"/>
    </row>
    <row r="11" spans="1:22" x14ac:dyDescent="0.3">
      <c r="A11" s="2">
        <v>10</v>
      </c>
      <c r="B11" s="2">
        <v>6</v>
      </c>
      <c r="C11" s="2">
        <v>570</v>
      </c>
      <c r="D11" s="30">
        <f t="shared" si="0"/>
        <v>0</v>
      </c>
      <c r="E11" s="2">
        <f t="shared" si="8"/>
        <v>0</v>
      </c>
      <c r="F11" s="30">
        <f t="shared" si="2"/>
        <v>54.583333333333371</v>
      </c>
      <c r="G11" s="30">
        <f t="shared" si="9"/>
        <v>2979.3402777777819</v>
      </c>
      <c r="H11" s="2">
        <f t="shared" si="10"/>
        <v>0</v>
      </c>
      <c r="I11" s="2">
        <f t="shared" si="11"/>
        <v>515.41666666666663</v>
      </c>
      <c r="J11" s="2">
        <f t="shared" si="12"/>
        <v>156.58333333333337</v>
      </c>
      <c r="K11" s="2">
        <f t="shared" si="13"/>
        <v>24518.340277777788</v>
      </c>
      <c r="L11" s="2"/>
      <c r="M11" s="2"/>
      <c r="N11" s="2"/>
      <c r="O11" s="2"/>
      <c r="P11" s="2"/>
      <c r="Q11" s="2"/>
      <c r="R11" s="2"/>
      <c r="S11" s="2"/>
      <c r="T11" s="2"/>
      <c r="U11" s="2"/>
      <c r="V11" s="2"/>
    </row>
    <row r="12" spans="1:22" x14ac:dyDescent="0.3">
      <c r="A12" s="2">
        <v>11</v>
      </c>
      <c r="B12" s="2">
        <v>3</v>
      </c>
      <c r="C12" s="2">
        <v>346</v>
      </c>
      <c r="D12" s="30">
        <f t="shared" si="0"/>
        <v>-3</v>
      </c>
      <c r="E12" s="2">
        <f t="shared" si="8"/>
        <v>9</v>
      </c>
      <c r="F12" s="30">
        <f>C12-$C$14</f>
        <v>-169.41666666666663</v>
      </c>
      <c r="G12" s="30">
        <f t="shared" si="9"/>
        <v>28702.006944444431</v>
      </c>
      <c r="H12" s="2">
        <f t="shared" si="10"/>
        <v>508.24999999999989</v>
      </c>
      <c r="I12" s="2">
        <f t="shared" si="11"/>
        <v>411.66666666666663</v>
      </c>
      <c r="J12" s="2">
        <f t="shared" si="12"/>
        <v>260.33333333333337</v>
      </c>
      <c r="K12" s="2">
        <f t="shared" si="13"/>
        <v>67773.444444444467</v>
      </c>
      <c r="L12" s="2"/>
      <c r="M12" s="2"/>
      <c r="N12" s="2"/>
      <c r="O12" s="2"/>
      <c r="P12" s="2"/>
      <c r="Q12" s="2"/>
      <c r="R12" s="2"/>
      <c r="S12" s="2"/>
      <c r="T12" s="2"/>
      <c r="U12" s="2"/>
      <c r="V12" s="2"/>
    </row>
    <row r="13" spans="1:22" x14ac:dyDescent="0.3">
      <c r="A13" s="2">
        <v>12</v>
      </c>
      <c r="B13" s="2">
        <v>9</v>
      </c>
      <c r="C13" s="2">
        <v>672</v>
      </c>
      <c r="D13" s="30">
        <f t="shared" si="0"/>
        <v>3</v>
      </c>
      <c r="E13" s="2">
        <f t="shared" si="8"/>
        <v>9</v>
      </c>
      <c r="F13" s="30">
        <f t="shared" si="2"/>
        <v>156.58333333333337</v>
      </c>
      <c r="G13" s="30">
        <f t="shared" si="9"/>
        <v>24518.340277777788</v>
      </c>
      <c r="H13" s="2">
        <f t="shared" si="10"/>
        <v>469.75000000000011</v>
      </c>
      <c r="I13" s="2">
        <f t="shared" si="11"/>
        <v>619.16666666666663</v>
      </c>
      <c r="J13" s="2">
        <f t="shared" si="12"/>
        <v>52.833333333333371</v>
      </c>
      <c r="K13" s="2">
        <f t="shared" si="13"/>
        <v>2791.361111111115</v>
      </c>
      <c r="L13" s="2"/>
      <c r="M13" s="2"/>
      <c r="N13" s="2"/>
      <c r="O13" s="2"/>
      <c r="P13" s="2"/>
      <c r="Q13" s="2"/>
      <c r="R13" s="2"/>
      <c r="S13" s="2"/>
      <c r="T13" s="2"/>
      <c r="U13" s="2"/>
      <c r="V13" s="2"/>
    </row>
    <row r="14" spans="1:22" s="11" customFormat="1" x14ac:dyDescent="0.3">
      <c r="A14" s="9"/>
      <c r="B14" s="29">
        <f>AVERAGE(B2:B13)</f>
        <v>6</v>
      </c>
      <c r="C14" s="29">
        <f>AVERAGE(C2:C13)</f>
        <v>515.41666666666663</v>
      </c>
      <c r="D14" s="9"/>
      <c r="E14" s="9">
        <f>SUM(E2:E13)</f>
        <v>72</v>
      </c>
      <c r="F14" s="9"/>
      <c r="G14" s="29">
        <f>SUM(G2:G13)</f>
        <v>112774.91666666666</v>
      </c>
      <c r="H14" s="29">
        <f>SUM(H2:H13)</f>
        <v>2490</v>
      </c>
      <c r="I14" s="9"/>
      <c r="J14" s="9"/>
      <c r="K14" s="9"/>
      <c r="L14" s="9"/>
      <c r="M14" s="9"/>
      <c r="N14" s="9"/>
      <c r="O14" s="9"/>
      <c r="P14" s="9"/>
      <c r="Q14" s="9"/>
      <c r="R14" s="9"/>
      <c r="S14" s="9"/>
      <c r="T14" s="9"/>
      <c r="U14" s="9"/>
      <c r="V14" s="9"/>
    </row>
    <row r="15" spans="1:22" x14ac:dyDescent="0.3">
      <c r="A15" s="2"/>
      <c r="B15" s="16" t="s">
        <v>8</v>
      </c>
      <c r="C15" s="16" t="s">
        <v>9</v>
      </c>
      <c r="D15" s="2"/>
      <c r="E15" s="2"/>
      <c r="F15" s="2"/>
      <c r="G15" s="2"/>
      <c r="H15" s="2"/>
      <c r="I15" s="2"/>
      <c r="J15" s="2"/>
      <c r="K15" s="2"/>
      <c r="L15" s="2"/>
      <c r="M15" s="2"/>
      <c r="N15" s="2"/>
      <c r="O15" s="2"/>
      <c r="P15" s="2"/>
      <c r="Q15" s="2"/>
      <c r="R15" s="2"/>
      <c r="S15" s="2"/>
      <c r="T15" s="2"/>
      <c r="U15" s="2"/>
      <c r="V15" s="2"/>
    </row>
    <row r="23" spans="3:4" x14ac:dyDescent="0.3">
      <c r="C23" s="12" t="s">
        <v>21</v>
      </c>
      <c r="D23" s="13">
        <f>H14/E14</f>
        <v>34.583333333333336</v>
      </c>
    </row>
    <row r="24" spans="3:4" x14ac:dyDescent="0.3">
      <c r="C24" s="12" t="s">
        <v>22</v>
      </c>
      <c r="D24" s="31">
        <f>C14-D23*B14</f>
        <v>307.91666666666663</v>
      </c>
    </row>
  </sheetData>
  <pageMargins left="0.7" right="0.7" top="0.75" bottom="0.75" header="0.3" footer="0.3"/>
  <ignoredErrors>
    <ignoredError sqref="F2:F12 F13" formula="1"/>
  </ignoredErrors>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N18"/>
  <sheetViews>
    <sheetView showGridLines="0" topLeftCell="A13" workbookViewId="0">
      <selection activeCell="A18" sqref="A18"/>
    </sheetView>
  </sheetViews>
  <sheetFormatPr defaultRowHeight="14.4" x14ac:dyDescent="0.3"/>
  <cols>
    <col min="1" max="1" width="9.88671875" bestFit="1" customWidth="1"/>
    <col min="2" max="2" width="14.44140625" bestFit="1" customWidth="1"/>
    <col min="3" max="3" width="15.44140625" bestFit="1" customWidth="1"/>
    <col min="6" max="6" width="18" bestFit="1" customWidth="1"/>
    <col min="7" max="7" width="12.6640625" bestFit="1" customWidth="1"/>
    <col min="8" max="8" width="14.5546875" bestFit="1" customWidth="1"/>
    <col min="9" max="9" width="12.6640625" bestFit="1" customWidth="1"/>
    <col min="10" max="10" width="12" bestFit="1" customWidth="1"/>
    <col min="11" max="11" width="13.44140625" bestFit="1" customWidth="1"/>
    <col min="12" max="12" width="12" bestFit="1" customWidth="1"/>
    <col min="13" max="13" width="12.6640625" bestFit="1" customWidth="1"/>
    <col min="14" max="14" width="12.5546875" bestFit="1" customWidth="1"/>
  </cols>
  <sheetData>
    <row r="1" spans="1:14" x14ac:dyDescent="0.3">
      <c r="A1" s="9" t="s">
        <v>0</v>
      </c>
      <c r="B1" s="9" t="s">
        <v>7</v>
      </c>
      <c r="C1" s="9" t="s">
        <v>1</v>
      </c>
      <c r="F1" t="s">
        <v>29</v>
      </c>
    </row>
    <row r="2" spans="1:14" ht="15" thickBot="1" x14ac:dyDescent="0.35">
      <c r="A2" s="2">
        <v>1</v>
      </c>
      <c r="B2" s="3">
        <v>1700</v>
      </c>
      <c r="C2" s="3">
        <v>250</v>
      </c>
    </row>
    <row r="3" spans="1:14" x14ac:dyDescent="0.3">
      <c r="A3" s="2">
        <v>2</v>
      </c>
      <c r="B3" s="3">
        <v>5400</v>
      </c>
      <c r="C3" s="3">
        <v>850</v>
      </c>
      <c r="F3" s="23" t="s">
        <v>30</v>
      </c>
      <c r="G3" s="23"/>
    </row>
    <row r="4" spans="1:14" x14ac:dyDescent="0.3">
      <c r="A4" s="2">
        <v>3</v>
      </c>
      <c r="B4" s="3">
        <v>3200</v>
      </c>
      <c r="C4" s="3">
        <v>550</v>
      </c>
      <c r="F4" s="20" t="s">
        <v>31</v>
      </c>
      <c r="G4" s="20">
        <v>0.8538222170526063</v>
      </c>
    </row>
    <row r="5" spans="1:14" x14ac:dyDescent="0.3">
      <c r="A5" s="2">
        <v>4</v>
      </c>
      <c r="B5" s="3">
        <v>4400</v>
      </c>
      <c r="C5" s="3">
        <v>400</v>
      </c>
      <c r="F5" s="20" t="s">
        <v>32</v>
      </c>
      <c r="G5" s="20">
        <v>0.729012378332628</v>
      </c>
    </row>
    <row r="6" spans="1:14" x14ac:dyDescent="0.3">
      <c r="A6" s="2">
        <v>5</v>
      </c>
      <c r="B6" s="3">
        <v>4950</v>
      </c>
      <c r="C6" s="3">
        <v>700</v>
      </c>
      <c r="F6" s="20" t="s">
        <v>33</v>
      </c>
      <c r="G6" s="20">
        <v>0.69513892562420654</v>
      </c>
    </row>
    <row r="7" spans="1:14" x14ac:dyDescent="0.3">
      <c r="A7" s="2">
        <v>6</v>
      </c>
      <c r="B7" s="3">
        <v>2550</v>
      </c>
      <c r="C7" s="3">
        <v>250</v>
      </c>
      <c r="F7" s="20" t="s">
        <v>34</v>
      </c>
      <c r="G7" s="20">
        <v>124.69127793540922</v>
      </c>
    </row>
    <row r="8" spans="1:14" ht="15" thickBot="1" x14ac:dyDescent="0.35">
      <c r="A8" s="2">
        <v>7</v>
      </c>
      <c r="B8" s="3">
        <v>3600</v>
      </c>
      <c r="C8" s="3">
        <v>600</v>
      </c>
      <c r="F8" s="21" t="s">
        <v>35</v>
      </c>
      <c r="G8" s="21">
        <v>10</v>
      </c>
    </row>
    <row r="9" spans="1:14" x14ac:dyDescent="0.3">
      <c r="A9" s="2">
        <v>8</v>
      </c>
      <c r="B9" s="3">
        <v>6000</v>
      </c>
      <c r="C9" s="3">
        <v>900</v>
      </c>
    </row>
    <row r="10" spans="1:14" ht="15" thickBot="1" x14ac:dyDescent="0.35">
      <c r="A10" s="2">
        <v>9</v>
      </c>
      <c r="B10" s="3">
        <v>4500</v>
      </c>
      <c r="C10" s="3">
        <v>450</v>
      </c>
      <c r="F10" t="s">
        <v>36</v>
      </c>
    </row>
    <row r="11" spans="1:14" x14ac:dyDescent="0.3">
      <c r="A11" s="2">
        <v>10</v>
      </c>
      <c r="B11" s="3">
        <v>5200</v>
      </c>
      <c r="C11" s="3">
        <v>650</v>
      </c>
      <c r="F11" s="22"/>
      <c r="G11" s="22" t="s">
        <v>41</v>
      </c>
      <c r="H11" s="22" t="s">
        <v>42</v>
      </c>
      <c r="I11" s="22" t="s">
        <v>43</v>
      </c>
      <c r="J11" s="22" t="s">
        <v>44</v>
      </c>
      <c r="K11" s="22" t="s">
        <v>45</v>
      </c>
    </row>
    <row r="12" spans="1:14" x14ac:dyDescent="0.3">
      <c r="F12" s="20" t="s">
        <v>37</v>
      </c>
      <c r="G12" s="20">
        <v>1</v>
      </c>
      <c r="H12" s="20">
        <v>334616.68165467627</v>
      </c>
      <c r="I12" s="20">
        <v>334616.68165467627</v>
      </c>
      <c r="J12" s="20">
        <v>21.52164364843102</v>
      </c>
      <c r="K12" s="20">
        <v>1.6680717716444529E-3</v>
      </c>
    </row>
    <row r="13" spans="1:14" x14ac:dyDescent="0.3">
      <c r="F13" s="20" t="s">
        <v>38</v>
      </c>
      <c r="G13" s="20">
        <v>8</v>
      </c>
      <c r="H13" s="20">
        <v>124383.31834532374</v>
      </c>
      <c r="I13" s="20">
        <v>15547.914793165468</v>
      </c>
      <c r="J13" s="20"/>
      <c r="K13" s="20"/>
    </row>
    <row r="14" spans="1:14" ht="15" thickBot="1" x14ac:dyDescent="0.35">
      <c r="F14" s="21" t="s">
        <v>39</v>
      </c>
      <c r="G14" s="21">
        <v>9</v>
      </c>
      <c r="H14" s="21">
        <v>459000</v>
      </c>
      <c r="I14" s="21"/>
      <c r="J14" s="21"/>
      <c r="K14" s="21"/>
    </row>
    <row r="15" spans="1:14" ht="15" thickBot="1" x14ac:dyDescent="0.35"/>
    <row r="16" spans="1:14" x14ac:dyDescent="0.3">
      <c r="B16">
        <f>CORREL(B2:B11,C2:C11)</f>
        <v>0.85382221705260619</v>
      </c>
      <c r="F16" s="22"/>
      <c r="G16" s="22" t="s">
        <v>46</v>
      </c>
      <c r="H16" s="22" t="s">
        <v>34</v>
      </c>
      <c r="I16" s="22" t="s">
        <v>47</v>
      </c>
      <c r="J16" s="22" t="s">
        <v>48</v>
      </c>
      <c r="K16" s="22" t="s">
        <v>49</v>
      </c>
      <c r="L16" s="22" t="s">
        <v>50</v>
      </c>
      <c r="M16" s="22" t="s">
        <v>51</v>
      </c>
      <c r="N16" s="22" t="s">
        <v>52</v>
      </c>
    </row>
    <row r="17" spans="2:14" x14ac:dyDescent="0.3">
      <c r="B17">
        <f>RSQ(C2:C11,B2:B11)</f>
        <v>0.729012378332628</v>
      </c>
      <c r="F17" s="20" t="s">
        <v>40</v>
      </c>
      <c r="G17" s="20">
        <v>-27.792266187050473</v>
      </c>
      <c r="H17" s="20">
        <v>132.69659511431928</v>
      </c>
      <c r="I17" s="20">
        <v>-0.20944219528095043</v>
      </c>
      <c r="J17" s="20">
        <v>0.83933814830246289</v>
      </c>
      <c r="K17" s="20">
        <v>-333.79116324818381</v>
      </c>
      <c r="L17" s="20">
        <v>278.20663087408286</v>
      </c>
      <c r="M17" s="20">
        <v>-333.79116324818381</v>
      </c>
      <c r="N17" s="20">
        <v>278.20663087408286</v>
      </c>
    </row>
    <row r="18" spans="2:14" ht="15" thickBot="1" x14ac:dyDescent="0.35">
      <c r="F18" s="21" t="s">
        <v>53</v>
      </c>
      <c r="G18" s="21">
        <v>0.14163669064748205</v>
      </c>
      <c r="H18" s="21">
        <v>3.0530790756915116E-2</v>
      </c>
      <c r="I18" s="21">
        <v>4.6391425553038399</v>
      </c>
      <c r="J18" s="21">
        <v>1.6680717716444499E-3</v>
      </c>
      <c r="K18" s="21">
        <v>7.1232560910982623E-2</v>
      </c>
      <c r="L18" s="21">
        <v>0.21204082038398148</v>
      </c>
      <c r="M18" s="21">
        <v>7.1232560910982623E-2</v>
      </c>
      <c r="N18" s="21">
        <v>0.21204082038398148</v>
      </c>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18"/>
  <sheetViews>
    <sheetView showGridLines="0" workbookViewId="0">
      <selection activeCell="D31" sqref="D31"/>
    </sheetView>
  </sheetViews>
  <sheetFormatPr defaultRowHeight="14.4" x14ac:dyDescent="0.3"/>
  <cols>
    <col min="1" max="1" width="9.88671875" bestFit="1" customWidth="1"/>
    <col min="2" max="2" width="14.44140625" bestFit="1" customWidth="1"/>
    <col min="3" max="3" width="16.6640625" bestFit="1" customWidth="1"/>
    <col min="4" max="4" width="15.44140625" bestFit="1" customWidth="1"/>
    <col min="6" max="6" width="18" bestFit="1" customWidth="1"/>
    <col min="7" max="7" width="12.6640625" bestFit="1" customWidth="1"/>
    <col min="8" max="8" width="14.5546875" bestFit="1" customWidth="1"/>
    <col min="9" max="10" width="12" bestFit="1" customWidth="1"/>
    <col min="11" max="11" width="13.44140625" bestFit="1" customWidth="1"/>
    <col min="12" max="12" width="12" bestFit="1" customWidth="1"/>
    <col min="13" max="13" width="12.6640625" bestFit="1" customWidth="1"/>
    <col min="14" max="14" width="12.5546875" bestFit="1" customWidth="1"/>
  </cols>
  <sheetData>
    <row r="1" spans="1:14" x14ac:dyDescent="0.3">
      <c r="A1" s="9" t="s">
        <v>0</v>
      </c>
      <c r="B1" s="9" t="s">
        <v>7</v>
      </c>
      <c r="C1" s="9" t="s">
        <v>54</v>
      </c>
      <c r="D1" s="9" t="s">
        <v>1</v>
      </c>
      <c r="F1" t="s">
        <v>29</v>
      </c>
    </row>
    <row r="2" spans="1:14" ht="15" thickBot="1" x14ac:dyDescent="0.35">
      <c r="A2" s="2">
        <v>1</v>
      </c>
      <c r="B2" s="3">
        <v>1700</v>
      </c>
      <c r="C2" s="24">
        <v>4</v>
      </c>
      <c r="D2" s="3">
        <v>250</v>
      </c>
    </row>
    <row r="3" spans="1:14" x14ac:dyDescent="0.3">
      <c r="A3" s="2">
        <v>2</v>
      </c>
      <c r="B3" s="3">
        <v>5400</v>
      </c>
      <c r="C3" s="24">
        <v>3</v>
      </c>
      <c r="D3" s="3">
        <v>850</v>
      </c>
      <c r="F3" s="23" t="s">
        <v>30</v>
      </c>
      <c r="G3" s="23"/>
    </row>
    <row r="4" spans="1:14" x14ac:dyDescent="0.3">
      <c r="A4" s="2">
        <v>3</v>
      </c>
      <c r="B4" s="3">
        <v>3200</v>
      </c>
      <c r="C4" s="24">
        <v>1</v>
      </c>
      <c r="D4" s="3">
        <v>550</v>
      </c>
      <c r="F4" s="20" t="s">
        <v>31</v>
      </c>
      <c r="G4" s="20">
        <v>0.32078145679580827</v>
      </c>
    </row>
    <row r="5" spans="1:14" x14ac:dyDescent="0.3">
      <c r="A5" s="2">
        <v>4</v>
      </c>
      <c r="B5" s="3">
        <v>4400</v>
      </c>
      <c r="C5" s="24">
        <v>3</v>
      </c>
      <c r="D5" s="3">
        <v>400</v>
      </c>
      <c r="F5" s="20" t="s">
        <v>32</v>
      </c>
      <c r="G5" s="20">
        <v>0.10290074302404099</v>
      </c>
    </row>
    <row r="6" spans="1:14" x14ac:dyDescent="0.3">
      <c r="A6" s="2">
        <v>5</v>
      </c>
      <c r="B6" s="3">
        <v>4950</v>
      </c>
      <c r="C6" s="24">
        <v>3</v>
      </c>
      <c r="D6" s="3">
        <v>700</v>
      </c>
      <c r="F6" s="20" t="s">
        <v>33</v>
      </c>
      <c r="G6" s="20">
        <v>-9.2366640979538867E-3</v>
      </c>
    </row>
    <row r="7" spans="1:14" x14ac:dyDescent="0.3">
      <c r="A7" s="2">
        <v>6</v>
      </c>
      <c r="B7" s="3">
        <v>2550</v>
      </c>
      <c r="C7" s="24">
        <v>2</v>
      </c>
      <c r="D7" s="3">
        <v>250</v>
      </c>
      <c r="F7" s="20" t="s">
        <v>34</v>
      </c>
      <c r="G7" s="20">
        <v>226.87236470975404</v>
      </c>
    </row>
    <row r="8" spans="1:14" ht="15" thickBot="1" x14ac:dyDescent="0.35">
      <c r="A8" s="2">
        <v>7</v>
      </c>
      <c r="B8" s="3">
        <v>3600</v>
      </c>
      <c r="C8" s="24">
        <v>6</v>
      </c>
      <c r="D8" s="3">
        <v>600</v>
      </c>
      <c r="F8" s="21" t="s">
        <v>35</v>
      </c>
      <c r="G8" s="21">
        <v>10</v>
      </c>
    </row>
    <row r="9" spans="1:14" x14ac:dyDescent="0.3">
      <c r="A9" s="2">
        <v>8</v>
      </c>
      <c r="B9" s="3">
        <v>6000</v>
      </c>
      <c r="C9" s="24">
        <v>5</v>
      </c>
      <c r="D9" s="3">
        <v>900</v>
      </c>
    </row>
    <row r="10" spans="1:14" ht="15" thickBot="1" x14ac:dyDescent="0.35">
      <c r="A10" s="2">
        <v>9</v>
      </c>
      <c r="B10" s="3">
        <v>4500</v>
      </c>
      <c r="C10" s="24">
        <v>1</v>
      </c>
      <c r="D10" s="3">
        <v>450</v>
      </c>
      <c r="F10" t="s">
        <v>36</v>
      </c>
    </row>
    <row r="11" spans="1:14" x14ac:dyDescent="0.3">
      <c r="A11" s="2">
        <v>10</v>
      </c>
      <c r="B11" s="3">
        <v>5200</v>
      </c>
      <c r="C11" s="24">
        <v>3</v>
      </c>
      <c r="D11" s="3">
        <v>650</v>
      </c>
      <c r="F11" s="22"/>
      <c r="G11" s="22" t="s">
        <v>41</v>
      </c>
      <c r="H11" s="22" t="s">
        <v>42</v>
      </c>
      <c r="I11" s="22" t="s">
        <v>43</v>
      </c>
      <c r="J11" s="22" t="s">
        <v>44</v>
      </c>
      <c r="K11" s="22" t="s">
        <v>45</v>
      </c>
    </row>
    <row r="12" spans="1:14" x14ac:dyDescent="0.3">
      <c r="F12" s="20" t="s">
        <v>37</v>
      </c>
      <c r="G12" s="20">
        <v>1</v>
      </c>
      <c r="H12" s="20">
        <v>47231.441048034816</v>
      </c>
      <c r="I12" s="20">
        <v>47231.441048034816</v>
      </c>
      <c r="J12" s="20">
        <v>0.9176308393870275</v>
      </c>
      <c r="K12" s="20">
        <v>0.36614815215354196</v>
      </c>
    </row>
    <row r="13" spans="1:14" x14ac:dyDescent="0.3">
      <c r="B13" s="27">
        <f>CORREL(C2:C11,D2:D11)</f>
        <v>0.32078145679580861</v>
      </c>
      <c r="F13" s="20" t="s">
        <v>38</v>
      </c>
      <c r="G13" s="20">
        <v>8</v>
      </c>
      <c r="H13" s="20">
        <v>411768.55895196518</v>
      </c>
      <c r="I13" s="20">
        <v>51471.069868995648</v>
      </c>
      <c r="J13" s="20"/>
      <c r="K13" s="20"/>
    </row>
    <row r="14" spans="1:14" ht="15" thickBot="1" x14ac:dyDescent="0.35">
      <c r="B14" s="28">
        <f>RSQ(C2:C11,D2:D11)</f>
        <v>0.10290074302404126</v>
      </c>
      <c r="F14" s="21" t="s">
        <v>39</v>
      </c>
      <c r="G14" s="21">
        <v>9</v>
      </c>
      <c r="H14" s="21">
        <v>459000</v>
      </c>
      <c r="I14" s="21"/>
      <c r="J14" s="21"/>
      <c r="K14" s="21"/>
    </row>
    <row r="15" spans="1:14" ht="15" thickBot="1" x14ac:dyDescent="0.35"/>
    <row r="16" spans="1:14" x14ac:dyDescent="0.3">
      <c r="F16" s="22"/>
      <c r="G16" s="22" t="s">
        <v>46</v>
      </c>
      <c r="H16" s="22" t="s">
        <v>34</v>
      </c>
      <c r="I16" s="22" t="s">
        <v>47</v>
      </c>
      <c r="J16" s="22" t="s">
        <v>48</v>
      </c>
      <c r="K16" s="22" t="s">
        <v>49</v>
      </c>
      <c r="L16" s="22" t="s">
        <v>50</v>
      </c>
      <c r="M16" s="22" t="s">
        <v>51</v>
      </c>
      <c r="N16" s="22" t="s">
        <v>52</v>
      </c>
    </row>
    <row r="17" spans="6:14" x14ac:dyDescent="0.3">
      <c r="F17" s="20" t="s">
        <v>40</v>
      </c>
      <c r="G17" s="20">
        <v>419.21397379912668</v>
      </c>
      <c r="H17" s="20">
        <v>163.54502490781607</v>
      </c>
      <c r="I17" s="20">
        <v>2.5632939555050434</v>
      </c>
      <c r="J17" s="20">
        <v>3.3474971510807569E-2</v>
      </c>
      <c r="K17" s="20">
        <v>42.078470069634307</v>
      </c>
      <c r="L17" s="20">
        <v>796.34947752861899</v>
      </c>
      <c r="M17" s="20">
        <v>42.078470069634307</v>
      </c>
      <c r="N17" s="20">
        <v>796.34947752861899</v>
      </c>
    </row>
    <row r="18" spans="6:14" ht="15" thickBot="1" x14ac:dyDescent="0.35">
      <c r="F18" s="21" t="s">
        <v>53</v>
      </c>
      <c r="G18" s="21">
        <v>45.414847161572034</v>
      </c>
      <c r="H18" s="21">
        <v>47.409334233304989</v>
      </c>
      <c r="I18" s="21">
        <v>0.95793049820278153</v>
      </c>
      <c r="J18" s="21">
        <v>0.36614815215354068</v>
      </c>
      <c r="K18" s="21">
        <v>-63.911273627705746</v>
      </c>
      <c r="L18" s="21">
        <v>154.74096795084981</v>
      </c>
      <c r="M18" s="21">
        <v>-63.911273627705746</v>
      </c>
      <c r="N18" s="21">
        <v>154.74096795084981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P1</vt:lpstr>
      <vt:lpstr>Sheet4</vt:lpstr>
      <vt:lpstr>P2</vt:lpstr>
      <vt:lpstr>Example</vt:lpstr>
      <vt:lpstr>P2_Excel</vt:lpstr>
      <vt:lpstr>P3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Home</cp:lastModifiedBy>
  <dcterms:created xsi:type="dcterms:W3CDTF">2019-04-13T19:06:58Z</dcterms:created>
  <dcterms:modified xsi:type="dcterms:W3CDTF">2019-12-08T05:48:29Z</dcterms:modified>
</cp:coreProperties>
</file>